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gayat\Downloads\"/>
    </mc:Choice>
  </mc:AlternateContent>
  <xr:revisionPtr revIDLastSave="0" documentId="13_ncr:1_{25362325-43AE-4209-B08A-E6CACBB82A34}"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s" sheetId="5" r:id="rId2"/>
    <sheet name="Customer Report" sheetId="4" r:id="rId3"/>
  </sheets>
  <definedNames>
    <definedName name="_xlcn.WorksheetConnection_Dashboard.xlsxCalls" hidden="1">Calls[]</definedName>
    <definedName name="_xlcn.WorksheetConnection_Dashboard.xlsxCustomer" hidden="1">Customer[]</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 name="Customer" connection="WorksheetConnection_Dashboard.xlsx!Customer"/>
          <x15:modelTable id="Calls" name="Calls" connection="WorksheetConnection_Dashboard.xlsx!Calls"/>
        </x15:modelTables>
        <x15:modelRelationships>
          <x15:modelRelationship fromTable="Calls" fromColumn="Customer ID" toTable="Customer"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a="1"/>
  <c r="I2" i="1" s="1"/>
  <c r="R21" i="4" a="1"/>
  <c r="R21" i="4" s="1"/>
  <c r="Q22" i="4" a="1"/>
  <c r="Q22" i="4" s="1"/>
  <c r="P34" i="5"/>
  <c r="N36" i="4" s="1"/>
  <c r="N31" i="5"/>
  <c r="N34" i="5" s="1"/>
  <c r="N30" i="5"/>
  <c r="N33" i="5" s="1"/>
  <c r="N29" i="5"/>
  <c r="P29" i="5" s="1"/>
  <c r="N37" i="4" s="1"/>
  <c r="Q3" i="5"/>
  <c r="R6" i="5"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J3" i="1"/>
  <c r="J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s="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s="1"/>
  <c r="I445" i="1" a="1"/>
  <c r="I445" i="1" s="1"/>
  <c r="I446" i="1" a="1"/>
  <c r="I446" i="1" s="1"/>
  <c r="I447" i="1" a="1"/>
  <c r="I447" i="1" s="1"/>
  <c r="I448" i="1" a="1"/>
  <c r="I448" i="1" s="1"/>
  <c r="I449" i="1" a="1"/>
  <c r="I449" i="1" s="1"/>
  <c r="I450" i="1" a="1"/>
  <c r="I450" i="1" s="1"/>
  <c r="I451" i="1" a="1"/>
  <c r="I451" i="1" s="1"/>
  <c r="I452" i="1" a="1"/>
  <c r="I452" i="1" s="1"/>
  <c r="I453" i="1" a="1"/>
  <c r="I453" i="1" s="1"/>
  <c r="I454" i="1" a="1"/>
  <c r="I454" i="1" s="1"/>
  <c r="I455" i="1" a="1"/>
  <c r="I455" i="1" s="1"/>
  <c r="I456" i="1" a="1"/>
  <c r="I456" i="1" s="1"/>
  <c r="I457" i="1" a="1"/>
  <c r="I457" i="1" s="1"/>
  <c r="I458" i="1" a="1"/>
  <c r="I458" i="1" s="1"/>
  <c r="I459" i="1" a="1"/>
  <c r="I459" i="1" s="1"/>
  <c r="I460" i="1" a="1"/>
  <c r="I460" i="1" s="1"/>
  <c r="I461" i="1" a="1"/>
  <c r="I461" i="1" s="1"/>
  <c r="I462" i="1" a="1"/>
  <c r="I462" i="1" s="1"/>
  <c r="I463" i="1" a="1"/>
  <c r="I463" i="1" s="1"/>
  <c r="I464" i="1" a="1"/>
  <c r="I464" i="1" s="1"/>
  <c r="I465" i="1" a="1"/>
  <c r="I465" i="1" s="1"/>
  <c r="I466" i="1" a="1"/>
  <c r="I466" i="1" s="1"/>
  <c r="I467" i="1" a="1"/>
  <c r="I467" i="1" s="1"/>
  <c r="I468" i="1" a="1"/>
  <c r="I468" i="1" s="1"/>
  <c r="I469" i="1" a="1"/>
  <c r="I469" i="1" s="1"/>
  <c r="I470" i="1" a="1"/>
  <c r="I470" i="1" s="1"/>
  <c r="I471" i="1" a="1"/>
  <c r="I471" i="1" s="1"/>
  <c r="I472" i="1" a="1"/>
  <c r="I472" i="1" s="1"/>
  <c r="I473" i="1" a="1"/>
  <c r="I473" i="1" s="1"/>
  <c r="I474" i="1" a="1"/>
  <c r="I474" i="1" s="1"/>
  <c r="I475" i="1" a="1"/>
  <c r="I475" i="1" s="1"/>
  <c r="I476" i="1" a="1"/>
  <c r="I476" i="1" s="1"/>
  <c r="I477" i="1" a="1"/>
  <c r="I477" i="1" s="1"/>
  <c r="I478" i="1" a="1"/>
  <c r="I478" i="1" s="1"/>
  <c r="I479" i="1" a="1"/>
  <c r="I479" i="1" s="1"/>
  <c r="I480" i="1" a="1"/>
  <c r="I480" i="1" s="1"/>
  <c r="I481" i="1" a="1"/>
  <c r="I481" i="1" s="1"/>
  <c r="I482" i="1" a="1"/>
  <c r="I482" i="1" s="1"/>
  <c r="I483" i="1" a="1"/>
  <c r="I483" i="1" s="1"/>
  <c r="I484" i="1" a="1"/>
  <c r="I484" i="1" s="1"/>
  <c r="I485" i="1" a="1"/>
  <c r="I485" i="1" s="1"/>
  <c r="I486" i="1" a="1"/>
  <c r="I486" i="1" s="1"/>
  <c r="I487" i="1" a="1"/>
  <c r="I487" i="1" s="1"/>
  <c r="I488" i="1" a="1"/>
  <c r="I488" i="1" s="1"/>
  <c r="I489" i="1" a="1"/>
  <c r="I489" i="1" s="1"/>
  <c r="I490" i="1" a="1"/>
  <c r="I490" i="1" s="1"/>
  <c r="I491" i="1" a="1"/>
  <c r="I491" i="1" s="1"/>
  <c r="I492" i="1" a="1"/>
  <c r="I492" i="1" s="1"/>
  <c r="I493" i="1" a="1"/>
  <c r="I493" i="1" s="1"/>
  <c r="I494" i="1" a="1"/>
  <c r="I494" i="1" s="1"/>
  <c r="I495" i="1" a="1"/>
  <c r="I495" i="1" s="1"/>
  <c r="I496" i="1" a="1"/>
  <c r="I496" i="1" s="1"/>
  <c r="I497" i="1" a="1"/>
  <c r="I497" i="1" s="1"/>
  <c r="I498" i="1" a="1"/>
  <c r="I498" i="1" s="1"/>
  <c r="I499" i="1" a="1"/>
  <c r="I499" i="1" s="1"/>
  <c r="I500" i="1" a="1"/>
  <c r="I500" i="1" s="1"/>
  <c r="I501" i="1" a="1"/>
  <c r="I501" i="1" s="1"/>
  <c r="I502" i="1" a="1"/>
  <c r="I502" i="1" s="1"/>
  <c r="I503" i="1" a="1"/>
  <c r="I503" i="1" s="1"/>
  <c r="I504" i="1" a="1"/>
  <c r="I504" i="1" s="1"/>
  <c r="I505" i="1" a="1"/>
  <c r="I505" i="1" s="1"/>
  <c r="I506" i="1" a="1"/>
  <c r="I506" i="1" s="1"/>
  <c r="I507" i="1" a="1"/>
  <c r="I507" i="1" s="1"/>
  <c r="I508" i="1" a="1"/>
  <c r="I508" i="1" s="1"/>
  <c r="I509" i="1" a="1"/>
  <c r="I509" i="1" s="1"/>
  <c r="I510" i="1" a="1"/>
  <c r="I510" i="1" s="1"/>
  <c r="I511" i="1" a="1"/>
  <c r="I511" i="1" s="1"/>
  <c r="I512" i="1" a="1"/>
  <c r="I512" i="1" s="1"/>
  <c r="I513" i="1" a="1"/>
  <c r="I513" i="1" s="1"/>
  <c r="I514" i="1" a="1"/>
  <c r="I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I526" i="1" a="1"/>
  <c r="I526" i="1" s="1"/>
  <c r="I527" i="1" a="1"/>
  <c r="I527" i="1" s="1"/>
  <c r="I528" i="1" a="1"/>
  <c r="I528" i="1" s="1"/>
  <c r="I529" i="1" a="1"/>
  <c r="I529" i="1" s="1"/>
  <c r="I530" i="1" a="1"/>
  <c r="I530" i="1" s="1"/>
  <c r="I531" i="1" a="1"/>
  <c r="I531" i="1" s="1"/>
  <c r="I532" i="1" a="1"/>
  <c r="I532" i="1" s="1"/>
  <c r="I533" i="1" a="1"/>
  <c r="I533" i="1" s="1"/>
  <c r="I534" i="1" a="1"/>
  <c r="I534"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551" i="1" a="1"/>
  <c r="I551" i="1" s="1"/>
  <c r="I552" i="1" a="1"/>
  <c r="I552" i="1" s="1"/>
  <c r="I553" i="1" a="1"/>
  <c r="I553" i="1" s="1"/>
  <c r="I554" i="1" a="1"/>
  <c r="I554" i="1" s="1"/>
  <c r="I555" i="1" a="1"/>
  <c r="I555" i="1" s="1"/>
  <c r="I556" i="1" a="1"/>
  <c r="I556" i="1" s="1"/>
  <c r="I557" i="1" a="1"/>
  <c r="I557" i="1" s="1"/>
  <c r="I558" i="1" a="1"/>
  <c r="I558" i="1" s="1"/>
  <c r="I559" i="1" a="1"/>
  <c r="I559" i="1" s="1"/>
  <c r="I560" i="1" a="1"/>
  <c r="I560" i="1" s="1"/>
  <c r="I561" i="1" a="1"/>
  <c r="I561" i="1" s="1"/>
  <c r="I562" i="1" a="1"/>
  <c r="I562" i="1" s="1"/>
  <c r="I563" i="1" a="1"/>
  <c r="I563" i="1" s="1"/>
  <c r="I564" i="1" a="1"/>
  <c r="I564"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84" i="1" a="1"/>
  <c r="I584" i="1" s="1"/>
  <c r="I585" i="1" a="1"/>
  <c r="I585" i="1" s="1"/>
  <c r="I586" i="1" a="1"/>
  <c r="I586" i="1" s="1"/>
  <c r="I587" i="1" a="1"/>
  <c r="I587" i="1" s="1"/>
  <c r="I588" i="1" a="1"/>
  <c r="I588"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s="1"/>
  <c r="I599" i="1" a="1"/>
  <c r="I599" i="1" s="1"/>
  <c r="I600" i="1" a="1"/>
  <c r="I600" i="1" s="1"/>
  <c r="I601" i="1" a="1"/>
  <c r="I601" i="1" s="1"/>
  <c r="I602" i="1" a="1"/>
  <c r="I602" i="1" s="1"/>
  <c r="I603" i="1" a="1"/>
  <c r="I603" i="1" s="1"/>
  <c r="I604" i="1" a="1"/>
  <c r="I604" i="1" s="1"/>
  <c r="I605" i="1" a="1"/>
  <c r="I605" i="1" s="1"/>
  <c r="I606" i="1" a="1"/>
  <c r="I606" i="1" s="1"/>
  <c r="I607" i="1" a="1"/>
  <c r="I607" i="1" s="1"/>
  <c r="I608" i="1" a="1"/>
  <c r="I608" i="1" s="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s="1"/>
  <c r="I629" i="1" a="1"/>
  <c r="I629" i="1" s="1"/>
  <c r="I630" i="1" a="1"/>
  <c r="I630" i="1" s="1"/>
  <c r="I631" i="1" a="1"/>
  <c r="I631" i="1" s="1"/>
  <c r="I632" i="1" a="1"/>
  <c r="I632" i="1" s="1"/>
  <c r="I633" i="1" a="1"/>
  <c r="I633" i="1" s="1"/>
  <c r="I634" i="1" a="1"/>
  <c r="I634" i="1" s="1"/>
  <c r="I635" i="1" a="1"/>
  <c r="I635" i="1" s="1"/>
  <c r="I636" i="1" a="1"/>
  <c r="I636" i="1" s="1"/>
  <c r="I637" i="1" a="1"/>
  <c r="I637" i="1" s="1"/>
  <c r="I638" i="1" a="1"/>
  <c r="I638" i="1" s="1"/>
  <c r="I639" i="1" a="1"/>
  <c r="I639" i="1" s="1"/>
  <c r="I640" i="1" a="1"/>
  <c r="I640" i="1" s="1"/>
  <c r="I641" i="1" a="1"/>
  <c r="I641" i="1" s="1"/>
  <c r="I642" i="1" a="1"/>
  <c r="I642" i="1" s="1"/>
  <c r="I643" i="1" a="1"/>
  <c r="I643" i="1" s="1"/>
  <c r="I644" i="1" a="1"/>
  <c r="I644" i="1" s="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668" i="1" a="1"/>
  <c r="I668" i="1" s="1"/>
  <c r="I669" i="1" a="1"/>
  <c r="I669" i="1" s="1"/>
  <c r="I670" i="1" a="1"/>
  <c r="I670" i="1" s="1"/>
  <c r="I671" i="1" a="1"/>
  <c r="I671" i="1" s="1"/>
  <c r="I672" i="1" a="1"/>
  <c r="I672" i="1" s="1"/>
  <c r="I673" i="1" a="1"/>
  <c r="I673" i="1" s="1"/>
  <c r="I674" i="1" a="1"/>
  <c r="I674" i="1" s="1"/>
  <c r="I675" i="1" a="1"/>
  <c r="I675" i="1" s="1"/>
  <c r="I676" i="1" a="1"/>
  <c r="I676" i="1" s="1"/>
  <c r="I677" i="1" a="1"/>
  <c r="I677" i="1" s="1"/>
  <c r="I678" i="1" a="1"/>
  <c r="I678" i="1" s="1"/>
  <c r="I679" i="1" a="1"/>
  <c r="I679" i="1" s="1"/>
  <c r="I680" i="1" a="1"/>
  <c r="I680" i="1" s="1"/>
  <c r="I681" i="1" a="1"/>
  <c r="I681" i="1" s="1"/>
  <c r="I682" i="1" a="1"/>
  <c r="I682" i="1" s="1"/>
  <c r="I683" i="1" a="1"/>
  <c r="I683" i="1" s="1"/>
  <c r="I684" i="1" a="1"/>
  <c r="I684" i="1" s="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s="1"/>
  <c r="I696" i="1" a="1"/>
  <c r="I696" i="1" s="1"/>
  <c r="I697" i="1" a="1"/>
  <c r="I697" i="1" s="1"/>
  <c r="I698" i="1" a="1"/>
  <c r="I698" i="1" s="1"/>
  <c r="I699" i="1" a="1"/>
  <c r="I699" i="1" s="1"/>
  <c r="I700" i="1" a="1"/>
  <c r="I700" i="1" s="1"/>
  <c r="I701" i="1" a="1"/>
  <c r="I701" i="1" s="1"/>
  <c r="I702" i="1" a="1"/>
  <c r="I702" i="1" s="1"/>
  <c r="I703" i="1" a="1"/>
  <c r="I703" i="1" s="1"/>
  <c r="I704" i="1" a="1"/>
  <c r="I704" i="1" s="1"/>
  <c r="I705" i="1" a="1"/>
  <c r="I705" i="1" s="1"/>
  <c r="I706" i="1" a="1"/>
  <c r="I706" i="1" s="1"/>
  <c r="I707" i="1" a="1"/>
  <c r="I707" i="1" s="1"/>
  <c r="I708" i="1" a="1"/>
  <c r="I708" i="1" s="1"/>
  <c r="I709" i="1" a="1"/>
  <c r="I709" i="1" s="1"/>
  <c r="I710" i="1" a="1"/>
  <c r="I710" i="1" s="1"/>
  <c r="I711" i="1" a="1"/>
  <c r="I711" i="1" s="1"/>
  <c r="I712" i="1" a="1"/>
  <c r="I712" i="1" s="1"/>
  <c r="I713" i="1" a="1"/>
  <c r="I713" i="1" s="1"/>
  <c r="I714" i="1" a="1"/>
  <c r="I714" i="1" s="1"/>
  <c r="I715" i="1" a="1"/>
  <c r="I715" i="1" s="1"/>
  <c r="I716" i="1" a="1"/>
  <c r="I716" i="1" s="1"/>
  <c r="I717" i="1" a="1"/>
  <c r="I717" i="1" s="1"/>
  <c r="I718" i="1" a="1"/>
  <c r="I718" i="1" s="1"/>
  <c r="I719" i="1" a="1"/>
  <c r="I719" i="1" s="1"/>
  <c r="I720" i="1" a="1"/>
  <c r="I720" i="1" s="1"/>
  <c r="I721" i="1" a="1"/>
  <c r="I721" i="1" s="1"/>
  <c r="I722" i="1" a="1"/>
  <c r="I722" i="1" s="1"/>
  <c r="I723" i="1" a="1"/>
  <c r="I723" i="1" s="1"/>
  <c r="I724" i="1" a="1"/>
  <c r="I724" i="1" s="1"/>
  <c r="I725" i="1" a="1"/>
  <c r="I725" i="1" s="1"/>
  <c r="I726" i="1" a="1"/>
  <c r="I726" i="1" s="1"/>
  <c r="I727" i="1" a="1"/>
  <c r="I727" i="1" s="1"/>
  <c r="I728" i="1" a="1"/>
  <c r="I728" i="1" s="1"/>
  <c r="I729" i="1" a="1"/>
  <c r="I729" i="1" s="1"/>
  <c r="I730" i="1" a="1"/>
  <c r="I730" i="1" s="1"/>
  <c r="I731" i="1" a="1"/>
  <c r="I731" i="1" s="1"/>
  <c r="I732" i="1" a="1"/>
  <c r="I732" i="1" s="1"/>
  <c r="I733" i="1" a="1"/>
  <c r="I733" i="1" s="1"/>
  <c r="I734" i="1" a="1"/>
  <c r="I734" i="1" s="1"/>
  <c r="I735" i="1" a="1"/>
  <c r="I735" i="1" s="1"/>
  <c r="I736" i="1" a="1"/>
  <c r="I736" i="1" s="1"/>
  <c r="I737" i="1" a="1"/>
  <c r="I737" i="1" s="1"/>
  <c r="I738" i="1" a="1"/>
  <c r="I738" i="1" s="1"/>
  <c r="I739" i="1" a="1"/>
  <c r="I739" i="1" s="1"/>
  <c r="I740" i="1" a="1"/>
  <c r="I740" i="1" s="1"/>
  <c r="I741" i="1" a="1"/>
  <c r="I741" i="1" s="1"/>
  <c r="I742" i="1" a="1"/>
  <c r="I742" i="1" s="1"/>
  <c r="I743" i="1" a="1"/>
  <c r="I743" i="1" s="1"/>
  <c r="I744" i="1" a="1"/>
  <c r="I744" i="1" s="1"/>
  <c r="I745" i="1" a="1"/>
  <c r="I745" i="1" s="1"/>
  <c r="I746" i="1" a="1"/>
  <c r="I746" i="1" s="1"/>
  <c r="I747" i="1" a="1"/>
  <c r="I747" i="1" s="1"/>
  <c r="I748" i="1" a="1"/>
  <c r="I748" i="1" s="1"/>
  <c r="I749" i="1" a="1"/>
  <c r="I749" i="1" s="1"/>
  <c r="I750" i="1" a="1"/>
  <c r="I750" i="1" s="1"/>
  <c r="I751" i="1" a="1"/>
  <c r="I751" i="1" s="1"/>
  <c r="I752" i="1" a="1"/>
  <c r="I752" i="1" s="1"/>
  <c r="I753" i="1" a="1"/>
  <c r="I753" i="1" s="1"/>
  <c r="I754" i="1" a="1"/>
  <c r="I754" i="1" s="1"/>
  <c r="I755" i="1" a="1"/>
  <c r="I755" i="1" s="1"/>
  <c r="I756" i="1" a="1"/>
  <c r="I756" i="1" s="1"/>
  <c r="I757" i="1" a="1"/>
  <c r="I757" i="1" s="1"/>
  <c r="I758" i="1" a="1"/>
  <c r="I758" i="1" s="1"/>
  <c r="I759" i="1" a="1"/>
  <c r="I759" i="1" s="1"/>
  <c r="I760" i="1" a="1"/>
  <c r="I760" i="1" s="1"/>
  <c r="I761" i="1" a="1"/>
  <c r="I761" i="1" s="1"/>
  <c r="I762" i="1" a="1"/>
  <c r="I762" i="1" s="1"/>
  <c r="I763" i="1" a="1"/>
  <c r="I763" i="1" s="1"/>
  <c r="I764" i="1" a="1"/>
  <c r="I764" i="1" s="1"/>
  <c r="I765" i="1" a="1"/>
  <c r="I765" i="1" s="1"/>
  <c r="I766" i="1" a="1"/>
  <c r="I766" i="1" s="1"/>
  <c r="I767" i="1" a="1"/>
  <c r="I767" i="1" s="1"/>
  <c r="I768" i="1" a="1"/>
  <c r="I768" i="1" s="1"/>
  <c r="I769" i="1" a="1"/>
  <c r="I769" i="1" s="1"/>
  <c r="I770" i="1" a="1"/>
  <c r="I770" i="1" s="1"/>
  <c r="I771" i="1" a="1"/>
  <c r="I771" i="1" s="1"/>
  <c r="I772" i="1" a="1"/>
  <c r="I772" i="1" s="1"/>
  <c r="I773" i="1" a="1"/>
  <c r="I773" i="1" s="1"/>
  <c r="I774" i="1" a="1"/>
  <c r="I774" i="1"/>
  <c r="I775" i="1" a="1"/>
  <c r="I775" i="1" s="1"/>
  <c r="I776" i="1" a="1"/>
  <c r="I776" i="1" s="1"/>
  <c r="I777" i="1" a="1"/>
  <c r="I777" i="1" s="1"/>
  <c r="I778" i="1" a="1"/>
  <c r="I778" i="1" s="1"/>
  <c r="I779" i="1" a="1"/>
  <c r="I779" i="1" s="1"/>
  <c r="I780" i="1" a="1"/>
  <c r="I780" i="1" s="1"/>
  <c r="I781" i="1" a="1"/>
  <c r="I781" i="1" s="1"/>
  <c r="I782" i="1" a="1"/>
  <c r="I782" i="1" s="1"/>
  <c r="I783" i="1" a="1"/>
  <c r="I783" i="1" s="1"/>
  <c r="I784" i="1" a="1"/>
  <c r="I784" i="1" s="1"/>
  <c r="I785" i="1" a="1"/>
  <c r="I785" i="1" s="1"/>
  <c r="I786" i="1" a="1"/>
  <c r="I786" i="1" s="1"/>
  <c r="I787" i="1" a="1"/>
  <c r="I787" i="1" s="1"/>
  <c r="I788" i="1" a="1"/>
  <c r="I788" i="1" s="1"/>
  <c r="I789" i="1" a="1"/>
  <c r="I789" i="1" s="1"/>
  <c r="I790" i="1" a="1"/>
  <c r="I790" i="1" s="1"/>
  <c r="I791" i="1" a="1"/>
  <c r="I791" i="1" s="1"/>
  <c r="I792" i="1" a="1"/>
  <c r="I792" i="1" s="1"/>
  <c r="I793" i="1" a="1"/>
  <c r="I793" i="1" s="1"/>
  <c r="I794" i="1" a="1"/>
  <c r="I794" i="1" s="1"/>
  <c r="I795" i="1" a="1"/>
  <c r="I795" i="1" s="1"/>
  <c r="I796" i="1" a="1"/>
  <c r="I796" i="1" s="1"/>
  <c r="I797" i="1" a="1"/>
  <c r="I797" i="1" s="1"/>
  <c r="I798" i="1" a="1"/>
  <c r="I798" i="1" s="1"/>
  <c r="I799" i="1" a="1"/>
  <c r="I799" i="1" s="1"/>
  <c r="I800" i="1" a="1"/>
  <c r="I800" i="1" s="1"/>
  <c r="I801" i="1" a="1"/>
  <c r="I801" i="1" s="1"/>
  <c r="I802" i="1" a="1"/>
  <c r="I802" i="1" s="1"/>
  <c r="I803" i="1" a="1"/>
  <c r="I803" i="1" s="1"/>
  <c r="I804" i="1" a="1"/>
  <c r="I804" i="1" s="1"/>
  <c r="I805" i="1" a="1"/>
  <c r="I805" i="1" s="1"/>
  <c r="I806" i="1" a="1"/>
  <c r="I806" i="1" s="1"/>
  <c r="I807" i="1" a="1"/>
  <c r="I807" i="1" s="1"/>
  <c r="I808" i="1" a="1"/>
  <c r="I808" i="1" s="1"/>
  <c r="I809" i="1" a="1"/>
  <c r="I809" i="1" s="1"/>
  <c r="I810" i="1" a="1"/>
  <c r="I810" i="1" s="1"/>
  <c r="I811" i="1" a="1"/>
  <c r="I811" i="1" s="1"/>
  <c r="I812" i="1" a="1"/>
  <c r="I812" i="1" s="1"/>
  <c r="I813" i="1" a="1"/>
  <c r="I813" i="1" s="1"/>
  <c r="I814" i="1" a="1"/>
  <c r="I814" i="1" s="1"/>
  <c r="I815" i="1" a="1"/>
  <c r="I815" i="1" s="1"/>
  <c r="I816" i="1" a="1"/>
  <c r="I816" i="1" s="1"/>
  <c r="I817" i="1" a="1"/>
  <c r="I817" i="1" s="1"/>
  <c r="I818" i="1" a="1"/>
  <c r="I818" i="1" s="1"/>
  <c r="I819" i="1" a="1"/>
  <c r="I819" i="1" s="1"/>
  <c r="I820" i="1" a="1"/>
  <c r="I820" i="1" s="1"/>
  <c r="I821" i="1" a="1"/>
  <c r="I821" i="1" s="1"/>
  <c r="I822" i="1" a="1"/>
  <c r="I822" i="1" s="1"/>
  <c r="I823" i="1" a="1"/>
  <c r="I823" i="1" s="1"/>
  <c r="I824" i="1" a="1"/>
  <c r="I824" i="1" s="1"/>
  <c r="I825" i="1" a="1"/>
  <c r="I825" i="1" s="1"/>
  <c r="I826" i="1" a="1"/>
  <c r="I826" i="1" s="1"/>
  <c r="I827" i="1" a="1"/>
  <c r="I827" i="1" s="1"/>
  <c r="I828" i="1" a="1"/>
  <c r="I828" i="1" s="1"/>
  <c r="I829" i="1" a="1"/>
  <c r="I829" i="1" s="1"/>
  <c r="I830" i="1" a="1"/>
  <c r="I830" i="1" s="1"/>
  <c r="I831" i="1" a="1"/>
  <c r="I831" i="1" s="1"/>
  <c r="I832" i="1" a="1"/>
  <c r="I832" i="1" s="1"/>
  <c r="I833" i="1" a="1"/>
  <c r="I833" i="1" s="1"/>
  <c r="I834" i="1" a="1"/>
  <c r="I834" i="1" s="1"/>
  <c r="I835" i="1" a="1"/>
  <c r="I835" i="1" s="1"/>
  <c r="I836" i="1" a="1"/>
  <c r="I836" i="1" s="1"/>
  <c r="I837" i="1" a="1"/>
  <c r="I837" i="1" s="1"/>
  <c r="I838" i="1" a="1"/>
  <c r="I838" i="1" s="1"/>
  <c r="I839" i="1" a="1"/>
  <c r="I839" i="1" s="1"/>
  <c r="I840" i="1" a="1"/>
  <c r="I840" i="1" s="1"/>
  <c r="I841" i="1" a="1"/>
  <c r="I841" i="1" s="1"/>
  <c r="I842" i="1" a="1"/>
  <c r="I842" i="1" s="1"/>
  <c r="I843" i="1" a="1"/>
  <c r="I843" i="1" s="1"/>
  <c r="I844" i="1" a="1"/>
  <c r="I844" i="1" s="1"/>
  <c r="I845" i="1" a="1"/>
  <c r="I845" i="1" s="1"/>
  <c r="I846" i="1" a="1"/>
  <c r="I846" i="1" s="1"/>
  <c r="I847" i="1" a="1"/>
  <c r="I847" i="1" s="1"/>
  <c r="I848" i="1" a="1"/>
  <c r="I848" i="1" s="1"/>
  <c r="I849" i="1" a="1"/>
  <c r="I849" i="1" s="1"/>
  <c r="I850" i="1" a="1"/>
  <c r="I850" i="1" s="1"/>
  <c r="I851" i="1" a="1"/>
  <c r="I851" i="1" s="1"/>
  <c r="I852" i="1" a="1"/>
  <c r="I852" i="1" s="1"/>
  <c r="I853" i="1" a="1"/>
  <c r="I853" i="1" s="1"/>
  <c r="I854" i="1" a="1"/>
  <c r="I854" i="1" s="1"/>
  <c r="I855" i="1" a="1"/>
  <c r="I855" i="1" s="1"/>
  <c r="I856" i="1" a="1"/>
  <c r="I856" i="1" s="1"/>
  <c r="I857" i="1" a="1"/>
  <c r="I857" i="1" s="1"/>
  <c r="I858" i="1" a="1"/>
  <c r="I858" i="1" s="1"/>
  <c r="I859" i="1" a="1"/>
  <c r="I859" i="1" s="1"/>
  <c r="I860" i="1" a="1"/>
  <c r="I860" i="1" s="1"/>
  <c r="I861" i="1" a="1"/>
  <c r="I861" i="1" s="1"/>
  <c r="I862" i="1" a="1"/>
  <c r="I862" i="1" s="1"/>
  <c r="I863" i="1" a="1"/>
  <c r="I863" i="1" s="1"/>
  <c r="I864" i="1" a="1"/>
  <c r="I864" i="1"/>
  <c r="I865" i="1" a="1"/>
  <c r="I865" i="1" s="1"/>
  <c r="I866" i="1" a="1"/>
  <c r="I866" i="1" s="1"/>
  <c r="I867" i="1" a="1"/>
  <c r="I867" i="1" s="1"/>
  <c r="I868" i="1" a="1"/>
  <c r="I868" i="1" s="1"/>
  <c r="I869" i="1" a="1"/>
  <c r="I869" i="1" s="1"/>
  <c r="I870" i="1" a="1"/>
  <c r="I870" i="1" s="1"/>
  <c r="I871" i="1" a="1"/>
  <c r="I871" i="1" s="1"/>
  <c r="I872" i="1" a="1"/>
  <c r="I872" i="1" s="1"/>
  <c r="I873" i="1" a="1"/>
  <c r="I873" i="1" s="1"/>
  <c r="I874" i="1" a="1"/>
  <c r="I874" i="1" s="1"/>
  <c r="I875" i="1" a="1"/>
  <c r="I875" i="1" s="1"/>
  <c r="I876" i="1" a="1"/>
  <c r="I876" i="1" s="1"/>
  <c r="I877" i="1" a="1"/>
  <c r="I877" i="1" s="1"/>
  <c r="I878" i="1" a="1"/>
  <c r="I878" i="1" s="1"/>
  <c r="I879" i="1" a="1"/>
  <c r="I879" i="1" s="1"/>
  <c r="I880" i="1" a="1"/>
  <c r="I880" i="1" s="1"/>
  <c r="I881" i="1" a="1"/>
  <c r="I881" i="1" s="1"/>
  <c r="I882" i="1" a="1"/>
  <c r="I882" i="1" s="1"/>
  <c r="I883" i="1" a="1"/>
  <c r="I883" i="1" s="1"/>
  <c r="I884" i="1" a="1"/>
  <c r="I884" i="1" s="1"/>
  <c r="I885" i="1" a="1"/>
  <c r="I885" i="1" s="1"/>
  <c r="I886" i="1" a="1"/>
  <c r="I886" i="1" s="1"/>
  <c r="I887" i="1" a="1"/>
  <c r="I887" i="1" s="1"/>
  <c r="I888" i="1" a="1"/>
  <c r="I888" i="1" s="1"/>
  <c r="I889" i="1" a="1"/>
  <c r="I889" i="1" s="1"/>
  <c r="I890" i="1" a="1"/>
  <c r="I890" i="1" s="1"/>
  <c r="I891" i="1" a="1"/>
  <c r="I891" i="1" s="1"/>
  <c r="I892" i="1" a="1"/>
  <c r="I892" i="1" s="1"/>
  <c r="I893" i="1" a="1"/>
  <c r="I893" i="1" s="1"/>
  <c r="I894" i="1" a="1"/>
  <c r="I894" i="1" s="1"/>
  <c r="I895" i="1" a="1"/>
  <c r="I895" i="1" s="1"/>
  <c r="I896" i="1" a="1"/>
  <c r="I896" i="1" s="1"/>
  <c r="I897" i="1" a="1"/>
  <c r="I897" i="1" s="1"/>
  <c r="I898" i="1" a="1"/>
  <c r="I898" i="1" s="1"/>
  <c r="I899" i="1" a="1"/>
  <c r="I899" i="1" s="1"/>
  <c r="I900" i="1" a="1"/>
  <c r="I900" i="1" s="1"/>
  <c r="I901" i="1" a="1"/>
  <c r="I901" i="1" s="1"/>
  <c r="I902" i="1" a="1"/>
  <c r="I902" i="1" s="1"/>
  <c r="I903" i="1" a="1"/>
  <c r="I903" i="1" s="1"/>
  <c r="I904" i="1" a="1"/>
  <c r="I904" i="1" s="1"/>
  <c r="I905" i="1" a="1"/>
  <c r="I905" i="1" s="1"/>
  <c r="I906" i="1" a="1"/>
  <c r="I906" i="1" s="1"/>
  <c r="I907" i="1" a="1"/>
  <c r="I907" i="1" s="1"/>
  <c r="I908" i="1" a="1"/>
  <c r="I908" i="1" s="1"/>
  <c r="I909" i="1" a="1"/>
  <c r="I909" i="1" s="1"/>
  <c r="I910" i="1" a="1"/>
  <c r="I910" i="1" s="1"/>
  <c r="I911" i="1" a="1"/>
  <c r="I911" i="1" s="1"/>
  <c r="I912" i="1" a="1"/>
  <c r="I912" i="1" s="1"/>
  <c r="I913" i="1" a="1"/>
  <c r="I913" i="1" s="1"/>
  <c r="I914" i="1" a="1"/>
  <c r="I914" i="1" s="1"/>
  <c r="I915" i="1" a="1"/>
  <c r="I915" i="1" s="1"/>
  <c r="I916" i="1" a="1"/>
  <c r="I916" i="1" s="1"/>
  <c r="I917" i="1" a="1"/>
  <c r="I917" i="1" s="1"/>
  <c r="I918" i="1" a="1"/>
  <c r="I918" i="1" s="1"/>
  <c r="I919" i="1" a="1"/>
  <c r="I919" i="1" s="1"/>
  <c r="I920" i="1" a="1"/>
  <c r="I920" i="1" s="1"/>
  <c r="I921" i="1" a="1"/>
  <c r="I921" i="1" s="1"/>
  <c r="I922" i="1" a="1"/>
  <c r="I922" i="1" s="1"/>
  <c r="I923" i="1" a="1"/>
  <c r="I923" i="1" s="1"/>
  <c r="I924" i="1" a="1"/>
  <c r="I924" i="1" s="1"/>
  <c r="I925" i="1" a="1"/>
  <c r="I925" i="1" s="1"/>
  <c r="I926" i="1" a="1"/>
  <c r="I926" i="1" s="1"/>
  <c r="I927" i="1" a="1"/>
  <c r="I927" i="1" s="1"/>
  <c r="I928" i="1" a="1"/>
  <c r="I928" i="1" s="1"/>
  <c r="I929" i="1" a="1"/>
  <c r="I929" i="1" s="1"/>
  <c r="I930" i="1" a="1"/>
  <c r="I930" i="1" s="1"/>
  <c r="I931" i="1" a="1"/>
  <c r="I931" i="1" s="1"/>
  <c r="I932" i="1" a="1"/>
  <c r="I932" i="1" s="1"/>
  <c r="I933" i="1" a="1"/>
  <c r="I933" i="1" s="1"/>
  <c r="I934" i="1" a="1"/>
  <c r="I934" i="1" s="1"/>
  <c r="I935" i="1" a="1"/>
  <c r="I935" i="1" s="1"/>
  <c r="I936" i="1" a="1"/>
  <c r="I936" i="1" s="1"/>
  <c r="I937" i="1" a="1"/>
  <c r="I937" i="1" s="1"/>
  <c r="I938" i="1" a="1"/>
  <c r="I938" i="1" s="1"/>
  <c r="I939" i="1" a="1"/>
  <c r="I939" i="1" s="1"/>
  <c r="I940" i="1" a="1"/>
  <c r="I940" i="1" s="1"/>
  <c r="I941" i="1" a="1"/>
  <c r="I941" i="1" s="1"/>
  <c r="I942" i="1" a="1"/>
  <c r="I942" i="1" s="1"/>
  <c r="I943" i="1" a="1"/>
  <c r="I943" i="1" s="1"/>
  <c r="I944" i="1" a="1"/>
  <c r="I944" i="1" s="1"/>
  <c r="I945" i="1" a="1"/>
  <c r="I945" i="1" s="1"/>
  <c r="I946" i="1" a="1"/>
  <c r="I946" i="1" s="1"/>
  <c r="I947" i="1" a="1"/>
  <c r="I947" i="1" s="1"/>
  <c r="I948" i="1" a="1"/>
  <c r="I948" i="1" s="1"/>
  <c r="I949" i="1" a="1"/>
  <c r="I949" i="1" s="1"/>
  <c r="I950" i="1" a="1"/>
  <c r="I950" i="1" s="1"/>
  <c r="I951" i="1" a="1"/>
  <c r="I951" i="1" s="1"/>
  <c r="I952" i="1" a="1"/>
  <c r="I952" i="1" s="1"/>
  <c r="I953" i="1" a="1"/>
  <c r="I953" i="1" s="1"/>
  <c r="I954" i="1" a="1"/>
  <c r="I954" i="1" s="1"/>
  <c r="I955" i="1" a="1"/>
  <c r="I955" i="1" s="1"/>
  <c r="I956" i="1" a="1"/>
  <c r="I956" i="1" s="1"/>
  <c r="I957" i="1" a="1"/>
  <c r="I957" i="1" s="1"/>
  <c r="I958" i="1" a="1"/>
  <c r="I958" i="1" s="1"/>
  <c r="I959" i="1" a="1"/>
  <c r="I959" i="1" s="1"/>
  <c r="I960" i="1" a="1"/>
  <c r="I960" i="1" s="1"/>
  <c r="I961" i="1" a="1"/>
  <c r="I961" i="1" s="1"/>
  <c r="I962" i="1" a="1"/>
  <c r="I962" i="1" s="1"/>
  <c r="I963" i="1" a="1"/>
  <c r="I963" i="1" s="1"/>
  <c r="I964" i="1" a="1"/>
  <c r="I964" i="1" s="1"/>
  <c r="I965" i="1" a="1"/>
  <c r="I965" i="1" s="1"/>
  <c r="I966" i="1" a="1"/>
  <c r="I966" i="1" s="1"/>
  <c r="I967" i="1" a="1"/>
  <c r="I967" i="1" s="1"/>
  <c r="I968" i="1" a="1"/>
  <c r="I968" i="1" s="1"/>
  <c r="I969" i="1" a="1"/>
  <c r="I969" i="1" s="1"/>
  <c r="I970" i="1" a="1"/>
  <c r="I970" i="1" s="1"/>
  <c r="I971" i="1" a="1"/>
  <c r="I971" i="1" s="1"/>
  <c r="I972" i="1" a="1"/>
  <c r="I972" i="1" s="1"/>
  <c r="I973" i="1" a="1"/>
  <c r="I973" i="1" s="1"/>
  <c r="I974" i="1" a="1"/>
  <c r="I974" i="1" s="1"/>
  <c r="I975" i="1" a="1"/>
  <c r="I975" i="1" s="1"/>
  <c r="I976" i="1" a="1"/>
  <c r="I976" i="1" s="1"/>
  <c r="I977" i="1" a="1"/>
  <c r="I977" i="1" s="1"/>
  <c r="I978" i="1" a="1"/>
  <c r="I978" i="1" s="1"/>
  <c r="I979" i="1" a="1"/>
  <c r="I979" i="1" s="1"/>
  <c r="I980" i="1" a="1"/>
  <c r="I980" i="1" s="1"/>
  <c r="I981" i="1" a="1"/>
  <c r="I981" i="1" s="1"/>
  <c r="I982" i="1" a="1"/>
  <c r="I982" i="1" s="1"/>
  <c r="I983" i="1" a="1"/>
  <c r="I983" i="1" s="1"/>
  <c r="I984" i="1" a="1"/>
  <c r="I984" i="1" s="1"/>
  <c r="I985" i="1" a="1"/>
  <c r="I985" i="1" s="1"/>
  <c r="I986" i="1" a="1"/>
  <c r="I986" i="1" s="1"/>
  <c r="I987" i="1" a="1"/>
  <c r="I987" i="1" s="1"/>
  <c r="I988" i="1" a="1"/>
  <c r="I988" i="1" s="1"/>
  <c r="I989" i="1" a="1"/>
  <c r="I989" i="1" s="1"/>
  <c r="I990" i="1" a="1"/>
  <c r="I990" i="1" s="1"/>
  <c r="I991" i="1" a="1"/>
  <c r="I991" i="1" s="1"/>
  <c r="I992" i="1" a="1"/>
  <c r="I992" i="1" s="1"/>
  <c r="I993" i="1" a="1"/>
  <c r="I993" i="1" s="1"/>
  <c r="I994" i="1" a="1"/>
  <c r="I994" i="1" s="1"/>
  <c r="I995" i="1" a="1"/>
  <c r="I995" i="1" s="1"/>
  <c r="I996" i="1" a="1"/>
  <c r="I996" i="1" s="1"/>
  <c r="I997" i="1" a="1"/>
  <c r="I997" i="1" s="1"/>
  <c r="I998" i="1" a="1"/>
  <c r="I998" i="1" s="1"/>
  <c r="I999" i="1" a="1"/>
  <c r="I999" i="1" s="1"/>
  <c r="I1000" i="1" a="1"/>
  <c r="I1000" i="1" s="1"/>
  <c r="I1001" i="1" a="1"/>
  <c r="I1001"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P31" i="5" l="1"/>
  <c r="N39" i="4" s="1"/>
  <c r="P30" i="5"/>
  <c r="N38" i="4" s="1"/>
  <c r="Q10" i="5"/>
  <c r="Q9" i="5"/>
  <c r="Q8" i="5"/>
  <c r="Q7" i="5"/>
  <c r="Q6" i="5"/>
  <c r="R5" i="5"/>
  <c r="R11" i="5"/>
  <c r="R10" i="5"/>
  <c r="R9" i="5"/>
  <c r="R8" i="5"/>
  <c r="Q5" i="5"/>
  <c r="R7" i="5"/>
  <c r="Q1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2E9DD5-756A-4A0F-9512-66EC5EB386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A1D012B-2872-4E6C-A9AD-C9CAF800D279}" name="WorksheetConnection_Dashboard.xlsx!Calls" type="102" refreshedVersion="8" minRefreshableVersion="5">
    <extLst>
      <ext xmlns:x15="http://schemas.microsoft.com/office/spreadsheetml/2010/11/main" uri="{DE250136-89BD-433C-8126-D09CA5730AF9}">
        <x15:connection id="Calls" autoDelete="1">
          <x15:rangePr sourceName="_xlcn.WorksheetConnection_Dashboard.xlsxCalls"/>
        </x15:connection>
      </ext>
    </extLst>
  </connection>
  <connection id="3" xr16:uid="{EABBCAF6-290C-4236-BAC7-7885457B7082}" name="WorksheetConnection_Dashboard.xlsx!Customer" type="102" refreshedVersion="8" minRefreshableVersion="5">
    <extLst>
      <ext xmlns:x15="http://schemas.microsoft.com/office/spreadsheetml/2010/11/main" uri="{DE250136-89BD-433C-8126-D09CA5730AF9}">
        <x15:connection id="Customer">
          <x15:rangePr sourceName="_xlcn.WorksheetConnection_Dashboard.xlsxCustomer"/>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<sst xmlns="http://schemas.openxmlformats.org/spreadsheetml/2006/main" count="4208" uniqueCount="1294">
  <si>
    <t>Call Number</t>
  </si>
  <si>
    <t>Customer ID</t>
  </si>
  <si>
    <t>Duration (Min)</t>
  </si>
  <si>
    <t>Date of Call</t>
  </si>
  <si>
    <t>Purchase Amount</t>
  </si>
  <si>
    <t>Satisfactory Rating</t>
  </si>
  <si>
    <t>call_1000</t>
  </si>
  <si>
    <t>call_1001</t>
  </si>
  <si>
    <t>call_1002</t>
  </si>
  <si>
    <t>call_1003</t>
  </si>
  <si>
    <t>call_1004</t>
  </si>
  <si>
    <t>call_1005</t>
  </si>
  <si>
    <t>call_1006</t>
  </si>
  <si>
    <t>call_1007</t>
  </si>
  <si>
    <t>call_1008</t>
  </si>
  <si>
    <t>call_1009</t>
  </si>
  <si>
    <t>call_1010</t>
  </si>
  <si>
    <t>call_1011</t>
  </si>
  <si>
    <t>call_1012</t>
  </si>
  <si>
    <t>call_1013</t>
  </si>
  <si>
    <t>call_1014</t>
  </si>
  <si>
    <t>call_1015</t>
  </si>
  <si>
    <t>call_1016</t>
  </si>
  <si>
    <t>call_1017</t>
  </si>
  <si>
    <t>call_1018</t>
  </si>
  <si>
    <t>call_1019</t>
  </si>
  <si>
    <t>call_1020</t>
  </si>
  <si>
    <t>call_1021</t>
  </si>
  <si>
    <t>call_1022</t>
  </si>
  <si>
    <t>call_1023</t>
  </si>
  <si>
    <t>call_1024</t>
  </si>
  <si>
    <t>call_1025</t>
  </si>
  <si>
    <t>call_1026</t>
  </si>
  <si>
    <t>call_1027</t>
  </si>
  <si>
    <t>call_1028</t>
  </si>
  <si>
    <t>call_1029</t>
  </si>
  <si>
    <t>call_1030</t>
  </si>
  <si>
    <t>call_1031</t>
  </si>
  <si>
    <t>call_1032</t>
  </si>
  <si>
    <t>call_1033</t>
  </si>
  <si>
    <t>call_1034</t>
  </si>
  <si>
    <t>call_1035</t>
  </si>
  <si>
    <t>call_1036</t>
  </si>
  <si>
    <t>call_1037</t>
  </si>
  <si>
    <t>call_1038</t>
  </si>
  <si>
    <t>call_1039</t>
  </si>
  <si>
    <t>call_1040</t>
  </si>
  <si>
    <t>call_1041</t>
  </si>
  <si>
    <t>call_1042</t>
  </si>
  <si>
    <t>call_1043</t>
  </si>
  <si>
    <t>call_1044</t>
  </si>
  <si>
    <t>call_1045</t>
  </si>
  <si>
    <t>call_1046</t>
  </si>
  <si>
    <t>call_1047</t>
  </si>
  <si>
    <t>call_1048</t>
  </si>
  <si>
    <t>call_1049</t>
  </si>
  <si>
    <t>call_1050</t>
  </si>
  <si>
    <t>call_1051</t>
  </si>
  <si>
    <t>call_1052</t>
  </si>
  <si>
    <t>call_1053</t>
  </si>
  <si>
    <t>call_1054</t>
  </si>
  <si>
    <t>call_1055</t>
  </si>
  <si>
    <t>call_1056</t>
  </si>
  <si>
    <t>call_1057</t>
  </si>
  <si>
    <t>call_1058</t>
  </si>
  <si>
    <t>call_1059</t>
  </si>
  <si>
    <t>call_1060</t>
  </si>
  <si>
    <t>call_1061</t>
  </si>
  <si>
    <t>call_1062</t>
  </si>
  <si>
    <t>call_1063</t>
  </si>
  <si>
    <t>call_1064</t>
  </si>
  <si>
    <t>call_1065</t>
  </si>
  <si>
    <t>call_1066</t>
  </si>
  <si>
    <t>call_1067</t>
  </si>
  <si>
    <t>call_1068</t>
  </si>
  <si>
    <t>call_1069</t>
  </si>
  <si>
    <t>call_1070</t>
  </si>
  <si>
    <t>call_1071</t>
  </si>
  <si>
    <t>call_1072</t>
  </si>
  <si>
    <t>call_1073</t>
  </si>
  <si>
    <t>call_1074</t>
  </si>
  <si>
    <t>call_1075</t>
  </si>
  <si>
    <t>call_1076</t>
  </si>
  <si>
    <t>call_1077</t>
  </si>
  <si>
    <t>call_1078</t>
  </si>
  <si>
    <t>call_1079</t>
  </si>
  <si>
    <t>call_1080</t>
  </si>
  <si>
    <t>call_1081</t>
  </si>
  <si>
    <t>call_1082</t>
  </si>
  <si>
    <t>call_1083</t>
  </si>
  <si>
    <t>call_1084</t>
  </si>
  <si>
    <t>call_1085</t>
  </si>
  <si>
    <t>call_1086</t>
  </si>
  <si>
    <t>call_1087</t>
  </si>
  <si>
    <t>call_1088</t>
  </si>
  <si>
    <t>call_1089</t>
  </si>
  <si>
    <t>call_1090</t>
  </si>
  <si>
    <t>call_1091</t>
  </si>
  <si>
    <t>call_1092</t>
  </si>
  <si>
    <t>call_1093</t>
  </si>
  <si>
    <t>call_1094</t>
  </si>
  <si>
    <t>call_1095</t>
  </si>
  <si>
    <t>call_1096</t>
  </si>
  <si>
    <t>call_1097</t>
  </si>
  <si>
    <t>call_1098</t>
  </si>
  <si>
    <t>call_1099</t>
  </si>
  <si>
    <t>call_1100</t>
  </si>
  <si>
    <t>call_1101</t>
  </si>
  <si>
    <t>call_1102</t>
  </si>
  <si>
    <t>call_1103</t>
  </si>
  <si>
    <t>call_1104</t>
  </si>
  <si>
    <t>call_1105</t>
  </si>
  <si>
    <t>call_1106</t>
  </si>
  <si>
    <t>call_1107</t>
  </si>
  <si>
    <t>call_1108</t>
  </si>
  <si>
    <t>call_1109</t>
  </si>
  <si>
    <t>call_1110</t>
  </si>
  <si>
    <t>call_1111</t>
  </si>
  <si>
    <t>call_1112</t>
  </si>
  <si>
    <t>call_1113</t>
  </si>
  <si>
    <t>call_1114</t>
  </si>
  <si>
    <t>call_1115</t>
  </si>
  <si>
    <t>call_1116</t>
  </si>
  <si>
    <t>call_1117</t>
  </si>
  <si>
    <t>call_1118</t>
  </si>
  <si>
    <t>call_1119</t>
  </si>
  <si>
    <t>call_1120</t>
  </si>
  <si>
    <t>call_1121</t>
  </si>
  <si>
    <t>call_1122</t>
  </si>
  <si>
    <t>call_1123</t>
  </si>
  <si>
    <t>call_1124</t>
  </si>
  <si>
    <t>call_1125</t>
  </si>
  <si>
    <t>call_1126</t>
  </si>
  <si>
    <t>call_1127</t>
  </si>
  <si>
    <t>call_1128</t>
  </si>
  <si>
    <t>call_1129</t>
  </si>
  <si>
    <t>call_1130</t>
  </si>
  <si>
    <t>call_1131</t>
  </si>
  <si>
    <t>call_1132</t>
  </si>
  <si>
    <t>call_1133</t>
  </si>
  <si>
    <t>call_1134</t>
  </si>
  <si>
    <t>call_1135</t>
  </si>
  <si>
    <t>call_1136</t>
  </si>
  <si>
    <t>call_1137</t>
  </si>
  <si>
    <t>call_1138</t>
  </si>
  <si>
    <t>call_1139</t>
  </si>
  <si>
    <t>call_1140</t>
  </si>
  <si>
    <t>call_1141</t>
  </si>
  <si>
    <t>call_1142</t>
  </si>
  <si>
    <t>call_1143</t>
  </si>
  <si>
    <t>call_1144</t>
  </si>
  <si>
    <t>call_1145</t>
  </si>
  <si>
    <t>call_1146</t>
  </si>
  <si>
    <t>call_1147</t>
  </si>
  <si>
    <t>call_1148</t>
  </si>
  <si>
    <t>call_1149</t>
  </si>
  <si>
    <t>call_1150</t>
  </si>
  <si>
    <t>call_1151</t>
  </si>
  <si>
    <t>call_1152</t>
  </si>
  <si>
    <t>call_1153</t>
  </si>
  <si>
    <t>call_1154</t>
  </si>
  <si>
    <t>call_1155</t>
  </si>
  <si>
    <t>call_1156</t>
  </si>
  <si>
    <t>call_1157</t>
  </si>
  <si>
    <t>call_1158</t>
  </si>
  <si>
    <t>call_1159</t>
  </si>
  <si>
    <t>call_1160</t>
  </si>
  <si>
    <t>call_1161</t>
  </si>
  <si>
    <t>call_1162</t>
  </si>
  <si>
    <t>call_1163</t>
  </si>
  <si>
    <t>call_1164</t>
  </si>
  <si>
    <t>call_1165</t>
  </si>
  <si>
    <t>call_1166</t>
  </si>
  <si>
    <t>call_1167</t>
  </si>
  <si>
    <t>call_1168</t>
  </si>
  <si>
    <t>call_1169</t>
  </si>
  <si>
    <t>call_1170</t>
  </si>
  <si>
    <t>call_1171</t>
  </si>
  <si>
    <t>call_1172</t>
  </si>
  <si>
    <t>call_1173</t>
  </si>
  <si>
    <t>call_1174</t>
  </si>
  <si>
    <t>call_1175</t>
  </si>
  <si>
    <t>call_1176</t>
  </si>
  <si>
    <t>call_1177</t>
  </si>
  <si>
    <t>call_1178</t>
  </si>
  <si>
    <t>call_1179</t>
  </si>
  <si>
    <t>call_1180</t>
  </si>
  <si>
    <t>call_1181</t>
  </si>
  <si>
    <t>call_1182</t>
  </si>
  <si>
    <t>call_1183</t>
  </si>
  <si>
    <t>call_1184</t>
  </si>
  <si>
    <t>call_1185</t>
  </si>
  <si>
    <t>call_1186</t>
  </si>
  <si>
    <t>call_1187</t>
  </si>
  <si>
    <t>call_1188</t>
  </si>
  <si>
    <t>call_1189</t>
  </si>
  <si>
    <t>call_1190</t>
  </si>
  <si>
    <t>call_1191</t>
  </si>
  <si>
    <t>call_1192</t>
  </si>
  <si>
    <t>call_1193</t>
  </si>
  <si>
    <t>call_1194</t>
  </si>
  <si>
    <t>call_1195</t>
  </si>
  <si>
    <t>call_1196</t>
  </si>
  <si>
    <t>call_1197</t>
  </si>
  <si>
    <t>call_1198</t>
  </si>
  <si>
    <t>call_1199</t>
  </si>
  <si>
    <t>call_1200</t>
  </si>
  <si>
    <t>call_1201</t>
  </si>
  <si>
    <t>call_1202</t>
  </si>
  <si>
    <t>call_1203</t>
  </si>
  <si>
    <t>call_1204</t>
  </si>
  <si>
    <t>call_1205</t>
  </si>
  <si>
    <t>call_1206</t>
  </si>
  <si>
    <t>call_1207</t>
  </si>
  <si>
    <t>call_1208</t>
  </si>
  <si>
    <t>call_1209</t>
  </si>
  <si>
    <t>call_1210</t>
  </si>
  <si>
    <t>call_1211</t>
  </si>
  <si>
    <t>call_1212</t>
  </si>
  <si>
    <t>call_1213</t>
  </si>
  <si>
    <t>call_1214</t>
  </si>
  <si>
    <t>call_1215</t>
  </si>
  <si>
    <t>call_1216</t>
  </si>
  <si>
    <t>call_1217</t>
  </si>
  <si>
    <t>call_1218</t>
  </si>
  <si>
    <t>call_1219</t>
  </si>
  <si>
    <t>call_1220</t>
  </si>
  <si>
    <t>call_1221</t>
  </si>
  <si>
    <t>call_1222</t>
  </si>
  <si>
    <t>call_1223</t>
  </si>
  <si>
    <t>call_1224</t>
  </si>
  <si>
    <t>call_1225</t>
  </si>
  <si>
    <t>call_1226</t>
  </si>
  <si>
    <t>call_1227</t>
  </si>
  <si>
    <t>call_1228</t>
  </si>
  <si>
    <t>call_1229</t>
  </si>
  <si>
    <t>call_1230</t>
  </si>
  <si>
    <t>call_1231</t>
  </si>
  <si>
    <t>call_1232</t>
  </si>
  <si>
    <t>call_1233</t>
  </si>
  <si>
    <t>call_1234</t>
  </si>
  <si>
    <t>call_1235</t>
  </si>
  <si>
    <t>call_1236</t>
  </si>
  <si>
    <t>call_1237</t>
  </si>
  <si>
    <t>call_1238</t>
  </si>
  <si>
    <t>call_1239</t>
  </si>
  <si>
    <t>call_1240</t>
  </si>
  <si>
    <t>call_1241</t>
  </si>
  <si>
    <t>call_1242</t>
  </si>
  <si>
    <t>call_1243</t>
  </si>
  <si>
    <t>call_1244</t>
  </si>
  <si>
    <t>call_1245</t>
  </si>
  <si>
    <t>call_1246</t>
  </si>
  <si>
    <t>call_1247</t>
  </si>
  <si>
    <t>call_1248</t>
  </si>
  <si>
    <t>call_1249</t>
  </si>
  <si>
    <t>call_1250</t>
  </si>
  <si>
    <t>call_1251</t>
  </si>
  <si>
    <t>call_1252</t>
  </si>
  <si>
    <t>call_1253</t>
  </si>
  <si>
    <t>call_1254</t>
  </si>
  <si>
    <t>call_1255</t>
  </si>
  <si>
    <t>call_1256</t>
  </si>
  <si>
    <t>call_1257</t>
  </si>
  <si>
    <t>call_1258</t>
  </si>
  <si>
    <t>call_1259</t>
  </si>
  <si>
    <t>call_1260</t>
  </si>
  <si>
    <t>call_1261</t>
  </si>
  <si>
    <t>call_1262</t>
  </si>
  <si>
    <t>call_1263</t>
  </si>
  <si>
    <t>call_1264</t>
  </si>
  <si>
    <t>call_1265</t>
  </si>
  <si>
    <t>call_1266</t>
  </si>
  <si>
    <t>call_1267</t>
  </si>
  <si>
    <t>call_1268</t>
  </si>
  <si>
    <t>call_1269</t>
  </si>
  <si>
    <t>call_1270</t>
  </si>
  <si>
    <t>call_1271</t>
  </si>
  <si>
    <t>call_1272</t>
  </si>
  <si>
    <t>call_1273</t>
  </si>
  <si>
    <t>call_1274</t>
  </si>
  <si>
    <t>call_1275</t>
  </si>
  <si>
    <t>call_1276</t>
  </si>
  <si>
    <t>call_1277</t>
  </si>
  <si>
    <t>call_1278</t>
  </si>
  <si>
    <t>call_1279</t>
  </si>
  <si>
    <t>call_1280</t>
  </si>
  <si>
    <t>call_1281</t>
  </si>
  <si>
    <t>call_1282</t>
  </si>
  <si>
    <t>call_1283</t>
  </si>
  <si>
    <t>call_1284</t>
  </si>
  <si>
    <t>call_1285</t>
  </si>
  <si>
    <t>call_1286</t>
  </si>
  <si>
    <t>call_1287</t>
  </si>
  <si>
    <t>call_1288</t>
  </si>
  <si>
    <t>call_1289</t>
  </si>
  <si>
    <t>call_1290</t>
  </si>
  <si>
    <t>call_1291</t>
  </si>
  <si>
    <t>call_1292</t>
  </si>
  <si>
    <t>call_1293</t>
  </si>
  <si>
    <t>call_1294</t>
  </si>
  <si>
    <t>call_1295</t>
  </si>
  <si>
    <t>call_1296</t>
  </si>
  <si>
    <t>call_1297</t>
  </si>
  <si>
    <t>call_1298</t>
  </si>
  <si>
    <t>call_1299</t>
  </si>
  <si>
    <t>call_1300</t>
  </si>
  <si>
    <t>call_1301</t>
  </si>
  <si>
    <t>call_1302</t>
  </si>
  <si>
    <t>call_1303</t>
  </si>
  <si>
    <t>call_1304</t>
  </si>
  <si>
    <t>call_1305</t>
  </si>
  <si>
    <t>call_1306</t>
  </si>
  <si>
    <t>call_1307</t>
  </si>
  <si>
    <t>call_1308</t>
  </si>
  <si>
    <t>call_1309</t>
  </si>
  <si>
    <t>call_1310</t>
  </si>
  <si>
    <t>call_1311</t>
  </si>
  <si>
    <t>call_1312</t>
  </si>
  <si>
    <t>call_1313</t>
  </si>
  <si>
    <t>call_1314</t>
  </si>
  <si>
    <t>call_1315</t>
  </si>
  <si>
    <t>call_1316</t>
  </si>
  <si>
    <t>call_1317</t>
  </si>
  <si>
    <t>call_1318</t>
  </si>
  <si>
    <t>call_1319</t>
  </si>
  <si>
    <t>call_1320</t>
  </si>
  <si>
    <t>call_1321</t>
  </si>
  <si>
    <t>call_1322</t>
  </si>
  <si>
    <t>call_1323</t>
  </si>
  <si>
    <t>call_1324</t>
  </si>
  <si>
    <t>call_1325</t>
  </si>
  <si>
    <t>call_1326</t>
  </si>
  <si>
    <t>call_1327</t>
  </si>
  <si>
    <t>call_1328</t>
  </si>
  <si>
    <t>call_1329</t>
  </si>
  <si>
    <t>call_1330</t>
  </si>
  <si>
    <t>call_1331</t>
  </si>
  <si>
    <t>call_1332</t>
  </si>
  <si>
    <t>call_1333</t>
  </si>
  <si>
    <t>call_1334</t>
  </si>
  <si>
    <t>call_1335</t>
  </si>
  <si>
    <t>call_1336</t>
  </si>
  <si>
    <t>call_1337</t>
  </si>
  <si>
    <t>call_1338</t>
  </si>
  <si>
    <t>call_1339</t>
  </si>
  <si>
    <t>call_1340</t>
  </si>
  <si>
    <t>call_1341</t>
  </si>
  <si>
    <t>call_1342</t>
  </si>
  <si>
    <t>call_1343</t>
  </si>
  <si>
    <t>call_1344</t>
  </si>
  <si>
    <t>call_1345</t>
  </si>
  <si>
    <t>call_1346</t>
  </si>
  <si>
    <t>call_1347</t>
  </si>
  <si>
    <t>call_1348</t>
  </si>
  <si>
    <t>call_1349</t>
  </si>
  <si>
    <t>call_1350</t>
  </si>
  <si>
    <t>call_1351</t>
  </si>
  <si>
    <t>call_1352</t>
  </si>
  <si>
    <t>call_1353</t>
  </si>
  <si>
    <t>call_1354</t>
  </si>
  <si>
    <t>call_1355</t>
  </si>
  <si>
    <t>call_1356</t>
  </si>
  <si>
    <t>call_1357</t>
  </si>
  <si>
    <t>call_1358</t>
  </si>
  <si>
    <t>call_1359</t>
  </si>
  <si>
    <t>call_1360</t>
  </si>
  <si>
    <t>call_1361</t>
  </si>
  <si>
    <t>call_1362</t>
  </si>
  <si>
    <t>call_1363</t>
  </si>
  <si>
    <t>call_1364</t>
  </si>
  <si>
    <t>call_1365</t>
  </si>
  <si>
    <t>call_1366</t>
  </si>
  <si>
    <t>call_1367</t>
  </si>
  <si>
    <t>call_1368</t>
  </si>
  <si>
    <t>call_1369</t>
  </si>
  <si>
    <t>call_1370</t>
  </si>
  <si>
    <t>call_1371</t>
  </si>
  <si>
    <t>call_1372</t>
  </si>
  <si>
    <t>call_1373</t>
  </si>
  <si>
    <t>call_1374</t>
  </si>
  <si>
    <t>call_1375</t>
  </si>
  <si>
    <t>call_1376</t>
  </si>
  <si>
    <t>call_1377</t>
  </si>
  <si>
    <t>call_1378</t>
  </si>
  <si>
    <t>call_1379</t>
  </si>
  <si>
    <t>call_1380</t>
  </si>
  <si>
    <t>call_1381</t>
  </si>
  <si>
    <t>call_1382</t>
  </si>
  <si>
    <t>call_1383</t>
  </si>
  <si>
    <t>call_1384</t>
  </si>
  <si>
    <t>call_1385</t>
  </si>
  <si>
    <t>call_1386</t>
  </si>
  <si>
    <t>call_1387</t>
  </si>
  <si>
    <t>call_1388</t>
  </si>
  <si>
    <t>call_1389</t>
  </si>
  <si>
    <t>call_1390</t>
  </si>
  <si>
    <t>call_1391</t>
  </si>
  <si>
    <t>call_1392</t>
  </si>
  <si>
    <t>call_1393</t>
  </si>
  <si>
    <t>call_1394</t>
  </si>
  <si>
    <t>call_1395</t>
  </si>
  <si>
    <t>call_1396</t>
  </si>
  <si>
    <t>call_1397</t>
  </si>
  <si>
    <t>call_1398</t>
  </si>
  <si>
    <t>call_1399</t>
  </si>
  <si>
    <t>call_1400</t>
  </si>
  <si>
    <t>call_1401</t>
  </si>
  <si>
    <t>call_1402</t>
  </si>
  <si>
    <t>call_1403</t>
  </si>
  <si>
    <t>call_1404</t>
  </si>
  <si>
    <t>call_1405</t>
  </si>
  <si>
    <t>call_1406</t>
  </si>
  <si>
    <t>call_1407</t>
  </si>
  <si>
    <t>call_1408</t>
  </si>
  <si>
    <t>call_1409</t>
  </si>
  <si>
    <t>call_1410</t>
  </si>
  <si>
    <t>call_1411</t>
  </si>
  <si>
    <t>call_1412</t>
  </si>
  <si>
    <t>call_1413</t>
  </si>
  <si>
    <t>call_1414</t>
  </si>
  <si>
    <t>call_1415</t>
  </si>
  <si>
    <t>call_1416</t>
  </si>
  <si>
    <t>call_1417</t>
  </si>
  <si>
    <t>call_1418</t>
  </si>
  <si>
    <t>call_1419</t>
  </si>
  <si>
    <t>call_1420</t>
  </si>
  <si>
    <t>call_1421</t>
  </si>
  <si>
    <t>call_1422</t>
  </si>
  <si>
    <t>call_1423</t>
  </si>
  <si>
    <t>call_1424</t>
  </si>
  <si>
    <t>call_1425</t>
  </si>
  <si>
    <t>call_1426</t>
  </si>
  <si>
    <t>call_1427</t>
  </si>
  <si>
    <t>call_1428</t>
  </si>
  <si>
    <t>call_1429</t>
  </si>
  <si>
    <t>call_1430</t>
  </si>
  <si>
    <t>call_1431</t>
  </si>
  <si>
    <t>call_1432</t>
  </si>
  <si>
    <t>call_1433</t>
  </si>
  <si>
    <t>call_1434</t>
  </si>
  <si>
    <t>call_1435</t>
  </si>
  <si>
    <t>call_1436</t>
  </si>
  <si>
    <t>call_1437</t>
  </si>
  <si>
    <t>call_1438</t>
  </si>
  <si>
    <t>call_1439</t>
  </si>
  <si>
    <t>call_1440</t>
  </si>
  <si>
    <t>call_1441</t>
  </si>
  <si>
    <t>call_1442</t>
  </si>
  <si>
    <t>call_1443</t>
  </si>
  <si>
    <t>call_1444</t>
  </si>
  <si>
    <t>call_1445</t>
  </si>
  <si>
    <t>call_1446</t>
  </si>
  <si>
    <t>call_1447</t>
  </si>
  <si>
    <t>call_1448</t>
  </si>
  <si>
    <t>call_1449</t>
  </si>
  <si>
    <t>call_1450</t>
  </si>
  <si>
    <t>call_1451</t>
  </si>
  <si>
    <t>call_1452</t>
  </si>
  <si>
    <t>call_1453</t>
  </si>
  <si>
    <t>call_1454</t>
  </si>
  <si>
    <t>call_1455</t>
  </si>
  <si>
    <t>call_1456</t>
  </si>
  <si>
    <t>call_1457</t>
  </si>
  <si>
    <t>call_1458</t>
  </si>
  <si>
    <t>call_1459</t>
  </si>
  <si>
    <t>call_1460</t>
  </si>
  <si>
    <t>call_1461</t>
  </si>
  <si>
    <t>call_1462</t>
  </si>
  <si>
    <t>call_1463</t>
  </si>
  <si>
    <t>call_1464</t>
  </si>
  <si>
    <t>call_1465</t>
  </si>
  <si>
    <t>call_1466</t>
  </si>
  <si>
    <t>call_1467</t>
  </si>
  <si>
    <t>call_1468</t>
  </si>
  <si>
    <t>call_1469</t>
  </si>
  <si>
    <t>call_1470</t>
  </si>
  <si>
    <t>call_1471</t>
  </si>
  <si>
    <t>call_1472</t>
  </si>
  <si>
    <t>call_1473</t>
  </si>
  <si>
    <t>call_1474</t>
  </si>
  <si>
    <t>call_1475</t>
  </si>
  <si>
    <t>call_1476</t>
  </si>
  <si>
    <t>call_1477</t>
  </si>
  <si>
    <t>call_1478</t>
  </si>
  <si>
    <t>call_1479</t>
  </si>
  <si>
    <t>call_1480</t>
  </si>
  <si>
    <t>call_1481</t>
  </si>
  <si>
    <t>call_1482</t>
  </si>
  <si>
    <t>call_1483</t>
  </si>
  <si>
    <t>call_1484</t>
  </si>
  <si>
    <t>call_1485</t>
  </si>
  <si>
    <t>call_1486</t>
  </si>
  <si>
    <t>call_1487</t>
  </si>
  <si>
    <t>call_1488</t>
  </si>
  <si>
    <t>call_1489</t>
  </si>
  <si>
    <t>call_1490</t>
  </si>
  <si>
    <t>call_1491</t>
  </si>
  <si>
    <t>call_1492</t>
  </si>
  <si>
    <t>call_1493</t>
  </si>
  <si>
    <t>call_1494</t>
  </si>
  <si>
    <t>call_1495</t>
  </si>
  <si>
    <t>call_1496</t>
  </si>
  <si>
    <t>call_1497</t>
  </si>
  <si>
    <t>call_1498</t>
  </si>
  <si>
    <t>call_1499</t>
  </si>
  <si>
    <t>call_1500</t>
  </si>
  <si>
    <t>call_1501</t>
  </si>
  <si>
    <t>call_1502</t>
  </si>
  <si>
    <t>call_1503</t>
  </si>
  <si>
    <t>call_1504</t>
  </si>
  <si>
    <t>call_1505</t>
  </si>
  <si>
    <t>call_1506</t>
  </si>
  <si>
    <t>call_1507</t>
  </si>
  <si>
    <t>call_1508</t>
  </si>
  <si>
    <t>call_1509</t>
  </si>
  <si>
    <t>call_1510</t>
  </si>
  <si>
    <t>call_1511</t>
  </si>
  <si>
    <t>call_1512</t>
  </si>
  <si>
    <t>call_1513</t>
  </si>
  <si>
    <t>call_1514</t>
  </si>
  <si>
    <t>call_1515</t>
  </si>
  <si>
    <t>call_1516</t>
  </si>
  <si>
    <t>call_1517</t>
  </si>
  <si>
    <t>call_1518</t>
  </si>
  <si>
    <t>call_1519</t>
  </si>
  <si>
    <t>call_1520</t>
  </si>
  <si>
    <t>call_1521</t>
  </si>
  <si>
    <t>call_1522</t>
  </si>
  <si>
    <t>call_1523</t>
  </si>
  <si>
    <t>call_1524</t>
  </si>
  <si>
    <t>call_1525</t>
  </si>
  <si>
    <t>call_1526</t>
  </si>
  <si>
    <t>call_1527</t>
  </si>
  <si>
    <t>call_1528</t>
  </si>
  <si>
    <t>call_1529</t>
  </si>
  <si>
    <t>call_1530</t>
  </si>
  <si>
    <t>call_1531</t>
  </si>
  <si>
    <t>call_1532</t>
  </si>
  <si>
    <t>call_1533</t>
  </si>
  <si>
    <t>call_1534</t>
  </si>
  <si>
    <t>call_1535</t>
  </si>
  <si>
    <t>call_1536</t>
  </si>
  <si>
    <t>call_1537</t>
  </si>
  <si>
    <t>call_1538</t>
  </si>
  <si>
    <t>call_1539</t>
  </si>
  <si>
    <t>call_1540</t>
  </si>
  <si>
    <t>call_1541</t>
  </si>
  <si>
    <t>call_1542</t>
  </si>
  <si>
    <t>call_1543</t>
  </si>
  <si>
    <t>call_1544</t>
  </si>
  <si>
    <t>call_1545</t>
  </si>
  <si>
    <t>call_1546</t>
  </si>
  <si>
    <t>call_1547</t>
  </si>
  <si>
    <t>call_1548</t>
  </si>
  <si>
    <t>call_1549</t>
  </si>
  <si>
    <t>call_1550</t>
  </si>
  <si>
    <t>call_1551</t>
  </si>
  <si>
    <t>call_1552</t>
  </si>
  <si>
    <t>call_1553</t>
  </si>
  <si>
    <t>call_1554</t>
  </si>
  <si>
    <t>call_1555</t>
  </si>
  <si>
    <t>call_1556</t>
  </si>
  <si>
    <t>call_1557</t>
  </si>
  <si>
    <t>call_1558</t>
  </si>
  <si>
    <t>call_1559</t>
  </si>
  <si>
    <t>call_1560</t>
  </si>
  <si>
    <t>call_1561</t>
  </si>
  <si>
    <t>call_1562</t>
  </si>
  <si>
    <t>call_1563</t>
  </si>
  <si>
    <t>call_1564</t>
  </si>
  <si>
    <t>call_1565</t>
  </si>
  <si>
    <t>call_1566</t>
  </si>
  <si>
    <t>call_1567</t>
  </si>
  <si>
    <t>call_1568</t>
  </si>
  <si>
    <t>call_1569</t>
  </si>
  <si>
    <t>call_1570</t>
  </si>
  <si>
    <t>call_1571</t>
  </si>
  <si>
    <t>call_1572</t>
  </si>
  <si>
    <t>call_1573</t>
  </si>
  <si>
    <t>call_1574</t>
  </si>
  <si>
    <t>call_1575</t>
  </si>
  <si>
    <t>call_1576</t>
  </si>
  <si>
    <t>call_1577</t>
  </si>
  <si>
    <t>call_1578</t>
  </si>
  <si>
    <t>call_1579</t>
  </si>
  <si>
    <t>call_1580</t>
  </si>
  <si>
    <t>call_1581</t>
  </si>
  <si>
    <t>call_1582</t>
  </si>
  <si>
    <t>call_1583</t>
  </si>
  <si>
    <t>call_1584</t>
  </si>
  <si>
    <t>call_1585</t>
  </si>
  <si>
    <t>call_1586</t>
  </si>
  <si>
    <t>call_1587</t>
  </si>
  <si>
    <t>call_1588</t>
  </si>
  <si>
    <t>call_1589</t>
  </si>
  <si>
    <t>call_1590</t>
  </si>
  <si>
    <t>call_1591</t>
  </si>
  <si>
    <t>call_1592</t>
  </si>
  <si>
    <t>call_1593</t>
  </si>
  <si>
    <t>call_1594</t>
  </si>
  <si>
    <t>call_1595</t>
  </si>
  <si>
    <t>call_1596</t>
  </si>
  <si>
    <t>call_1597</t>
  </si>
  <si>
    <t>call_1598</t>
  </si>
  <si>
    <t>call_1599</t>
  </si>
  <si>
    <t>call_1600</t>
  </si>
  <si>
    <t>call_1601</t>
  </si>
  <si>
    <t>call_1602</t>
  </si>
  <si>
    <t>call_1603</t>
  </si>
  <si>
    <t>call_1604</t>
  </si>
  <si>
    <t>call_1605</t>
  </si>
  <si>
    <t>call_1606</t>
  </si>
  <si>
    <t>call_1607</t>
  </si>
  <si>
    <t>call_1608</t>
  </si>
  <si>
    <t>call_1609</t>
  </si>
  <si>
    <t>call_1610</t>
  </si>
  <si>
    <t>call_1611</t>
  </si>
  <si>
    <t>call_1612</t>
  </si>
  <si>
    <t>call_1613</t>
  </si>
  <si>
    <t>call_1614</t>
  </si>
  <si>
    <t>call_1615</t>
  </si>
  <si>
    <t>call_1616</t>
  </si>
  <si>
    <t>call_1617</t>
  </si>
  <si>
    <t>call_1618</t>
  </si>
  <si>
    <t>call_1619</t>
  </si>
  <si>
    <t>call_1620</t>
  </si>
  <si>
    <t>call_1621</t>
  </si>
  <si>
    <t>call_1622</t>
  </si>
  <si>
    <t>call_1623</t>
  </si>
  <si>
    <t>call_1624</t>
  </si>
  <si>
    <t>call_1625</t>
  </si>
  <si>
    <t>call_1626</t>
  </si>
  <si>
    <t>call_1627</t>
  </si>
  <si>
    <t>call_1628</t>
  </si>
  <si>
    <t>call_1629</t>
  </si>
  <si>
    <t>call_1630</t>
  </si>
  <si>
    <t>call_1631</t>
  </si>
  <si>
    <t>call_1632</t>
  </si>
  <si>
    <t>call_1633</t>
  </si>
  <si>
    <t>call_1634</t>
  </si>
  <si>
    <t>call_1635</t>
  </si>
  <si>
    <t>call_1636</t>
  </si>
  <si>
    <t>call_1637</t>
  </si>
  <si>
    <t>call_1638</t>
  </si>
  <si>
    <t>call_1639</t>
  </si>
  <si>
    <t>call_1640</t>
  </si>
  <si>
    <t>call_1641</t>
  </si>
  <si>
    <t>call_1642</t>
  </si>
  <si>
    <t>call_1643</t>
  </si>
  <si>
    <t>call_1644</t>
  </si>
  <si>
    <t>call_1645</t>
  </si>
  <si>
    <t>call_1646</t>
  </si>
  <si>
    <t>call_1647</t>
  </si>
  <si>
    <t>call_1648</t>
  </si>
  <si>
    <t>call_1649</t>
  </si>
  <si>
    <t>call_1650</t>
  </si>
  <si>
    <t>call_1651</t>
  </si>
  <si>
    <t>call_1652</t>
  </si>
  <si>
    <t>call_1653</t>
  </si>
  <si>
    <t>call_1654</t>
  </si>
  <si>
    <t>call_1655</t>
  </si>
  <si>
    <t>call_1656</t>
  </si>
  <si>
    <t>call_1657</t>
  </si>
  <si>
    <t>call_1658</t>
  </si>
  <si>
    <t>call_1659</t>
  </si>
  <si>
    <t>call_1660</t>
  </si>
  <si>
    <t>call_1661</t>
  </si>
  <si>
    <t>call_1662</t>
  </si>
  <si>
    <t>call_1663</t>
  </si>
  <si>
    <t>call_1664</t>
  </si>
  <si>
    <t>call_1665</t>
  </si>
  <si>
    <t>call_1666</t>
  </si>
  <si>
    <t>call_1667</t>
  </si>
  <si>
    <t>call_1668</t>
  </si>
  <si>
    <t>call_1669</t>
  </si>
  <si>
    <t>call_1670</t>
  </si>
  <si>
    <t>call_1671</t>
  </si>
  <si>
    <t>call_1672</t>
  </si>
  <si>
    <t>call_1673</t>
  </si>
  <si>
    <t>call_1674</t>
  </si>
  <si>
    <t>call_1675</t>
  </si>
  <si>
    <t>call_1676</t>
  </si>
  <si>
    <t>call_1677</t>
  </si>
  <si>
    <t>call_1678</t>
  </si>
  <si>
    <t>call_1679</t>
  </si>
  <si>
    <t>call_1680</t>
  </si>
  <si>
    <t>call_1681</t>
  </si>
  <si>
    <t>call_1682</t>
  </si>
  <si>
    <t>call_1683</t>
  </si>
  <si>
    <t>call_1684</t>
  </si>
  <si>
    <t>call_1685</t>
  </si>
  <si>
    <t>call_1686</t>
  </si>
  <si>
    <t>call_1687</t>
  </si>
  <si>
    <t>call_1688</t>
  </si>
  <si>
    <t>call_1689</t>
  </si>
  <si>
    <t>call_1690</t>
  </si>
  <si>
    <t>call_1691</t>
  </si>
  <si>
    <t>call_1692</t>
  </si>
  <si>
    <t>call_1693</t>
  </si>
  <si>
    <t>call_1694</t>
  </si>
  <si>
    <t>call_1695</t>
  </si>
  <si>
    <t>call_1696</t>
  </si>
  <si>
    <t>call_1697</t>
  </si>
  <si>
    <t>call_1698</t>
  </si>
  <si>
    <t>call_1699</t>
  </si>
  <si>
    <t>call_1700</t>
  </si>
  <si>
    <t>call_1701</t>
  </si>
  <si>
    <t>call_1702</t>
  </si>
  <si>
    <t>call_1703</t>
  </si>
  <si>
    <t>call_1704</t>
  </si>
  <si>
    <t>call_1705</t>
  </si>
  <si>
    <t>call_1706</t>
  </si>
  <si>
    <t>call_1707</t>
  </si>
  <si>
    <t>call_1708</t>
  </si>
  <si>
    <t>call_1709</t>
  </si>
  <si>
    <t>call_1710</t>
  </si>
  <si>
    <t>call_1711</t>
  </si>
  <si>
    <t>call_1712</t>
  </si>
  <si>
    <t>call_1713</t>
  </si>
  <si>
    <t>call_1714</t>
  </si>
  <si>
    <t>call_1715</t>
  </si>
  <si>
    <t>call_1716</t>
  </si>
  <si>
    <t>call_1717</t>
  </si>
  <si>
    <t>call_1718</t>
  </si>
  <si>
    <t>call_1719</t>
  </si>
  <si>
    <t>call_1720</t>
  </si>
  <si>
    <t>call_1721</t>
  </si>
  <si>
    <t>call_1722</t>
  </si>
  <si>
    <t>call_1723</t>
  </si>
  <si>
    <t>call_1724</t>
  </si>
  <si>
    <t>call_1725</t>
  </si>
  <si>
    <t>call_1726</t>
  </si>
  <si>
    <t>call_1727</t>
  </si>
  <si>
    <t>call_1728</t>
  </si>
  <si>
    <t>call_1729</t>
  </si>
  <si>
    <t>call_1730</t>
  </si>
  <si>
    <t>call_1731</t>
  </si>
  <si>
    <t>call_1732</t>
  </si>
  <si>
    <t>call_1733</t>
  </si>
  <si>
    <t>call_1734</t>
  </si>
  <si>
    <t>call_1735</t>
  </si>
  <si>
    <t>call_1736</t>
  </si>
  <si>
    <t>call_1737</t>
  </si>
  <si>
    <t>call_1738</t>
  </si>
  <si>
    <t>call_1739</t>
  </si>
  <si>
    <t>call_1740</t>
  </si>
  <si>
    <t>call_1741</t>
  </si>
  <si>
    <t>call_1742</t>
  </si>
  <si>
    <t>call_1743</t>
  </si>
  <si>
    <t>call_1744</t>
  </si>
  <si>
    <t>call_1745</t>
  </si>
  <si>
    <t>call_1746</t>
  </si>
  <si>
    <t>call_1747</t>
  </si>
  <si>
    <t>call_1748</t>
  </si>
  <si>
    <t>call_1749</t>
  </si>
  <si>
    <t>call_1750</t>
  </si>
  <si>
    <t>call_1751</t>
  </si>
  <si>
    <t>call_1752</t>
  </si>
  <si>
    <t>call_1753</t>
  </si>
  <si>
    <t>call_1754</t>
  </si>
  <si>
    <t>call_1755</t>
  </si>
  <si>
    <t>call_1756</t>
  </si>
  <si>
    <t>call_1757</t>
  </si>
  <si>
    <t>call_1758</t>
  </si>
  <si>
    <t>call_1759</t>
  </si>
  <si>
    <t>call_1760</t>
  </si>
  <si>
    <t>call_1761</t>
  </si>
  <si>
    <t>call_1762</t>
  </si>
  <si>
    <t>call_1763</t>
  </si>
  <si>
    <t>call_1764</t>
  </si>
  <si>
    <t>call_1765</t>
  </si>
  <si>
    <t>call_1766</t>
  </si>
  <si>
    <t>call_1767</t>
  </si>
  <si>
    <t>call_1768</t>
  </si>
  <si>
    <t>call_1769</t>
  </si>
  <si>
    <t>call_1770</t>
  </si>
  <si>
    <t>call_1771</t>
  </si>
  <si>
    <t>call_1772</t>
  </si>
  <si>
    <t>call_1773</t>
  </si>
  <si>
    <t>call_1774</t>
  </si>
  <si>
    <t>call_1775</t>
  </si>
  <si>
    <t>call_1776</t>
  </si>
  <si>
    <t>call_1777</t>
  </si>
  <si>
    <t>call_1778</t>
  </si>
  <si>
    <t>call_1779</t>
  </si>
  <si>
    <t>call_1780</t>
  </si>
  <si>
    <t>call_1781</t>
  </si>
  <si>
    <t>call_1782</t>
  </si>
  <si>
    <t>call_1783</t>
  </si>
  <si>
    <t>call_1784</t>
  </si>
  <si>
    <t>call_1785</t>
  </si>
  <si>
    <t>call_1786</t>
  </si>
  <si>
    <t>call_1787</t>
  </si>
  <si>
    <t>call_1788</t>
  </si>
  <si>
    <t>call_1789</t>
  </si>
  <si>
    <t>call_1790</t>
  </si>
  <si>
    <t>call_1791</t>
  </si>
  <si>
    <t>call_1792</t>
  </si>
  <si>
    <t>call_1793</t>
  </si>
  <si>
    <t>call_1794</t>
  </si>
  <si>
    <t>call_1795</t>
  </si>
  <si>
    <t>call_1796</t>
  </si>
  <si>
    <t>call_1797</t>
  </si>
  <si>
    <t>call_1798</t>
  </si>
  <si>
    <t>call_1799</t>
  </si>
  <si>
    <t>call_1800</t>
  </si>
  <si>
    <t>call_1801</t>
  </si>
  <si>
    <t>call_1802</t>
  </si>
  <si>
    <t>call_1803</t>
  </si>
  <si>
    <t>call_1804</t>
  </si>
  <si>
    <t>call_1805</t>
  </si>
  <si>
    <t>call_1806</t>
  </si>
  <si>
    <t>call_1807</t>
  </si>
  <si>
    <t>call_1808</t>
  </si>
  <si>
    <t>call_1809</t>
  </si>
  <si>
    <t>call_1810</t>
  </si>
  <si>
    <t>call_1811</t>
  </si>
  <si>
    <t>call_1812</t>
  </si>
  <si>
    <t>call_1813</t>
  </si>
  <si>
    <t>call_1814</t>
  </si>
  <si>
    <t>call_1815</t>
  </si>
  <si>
    <t>call_1816</t>
  </si>
  <si>
    <t>call_1817</t>
  </si>
  <si>
    <t>call_1818</t>
  </si>
  <si>
    <t>call_1819</t>
  </si>
  <si>
    <t>call_1820</t>
  </si>
  <si>
    <t>call_1821</t>
  </si>
  <si>
    <t>call_1822</t>
  </si>
  <si>
    <t>call_1823</t>
  </si>
  <si>
    <t>call_1824</t>
  </si>
  <si>
    <t>call_1825</t>
  </si>
  <si>
    <t>call_1826</t>
  </si>
  <si>
    <t>call_1827</t>
  </si>
  <si>
    <t>call_1828</t>
  </si>
  <si>
    <t>call_1829</t>
  </si>
  <si>
    <t>call_1830</t>
  </si>
  <si>
    <t>call_1831</t>
  </si>
  <si>
    <t>call_1832</t>
  </si>
  <si>
    <t>call_1833</t>
  </si>
  <si>
    <t>call_1834</t>
  </si>
  <si>
    <t>call_1835</t>
  </si>
  <si>
    <t>call_1836</t>
  </si>
  <si>
    <t>call_1837</t>
  </si>
  <si>
    <t>call_1838</t>
  </si>
  <si>
    <t>call_1839</t>
  </si>
  <si>
    <t>call_1840</t>
  </si>
  <si>
    <t>call_1841</t>
  </si>
  <si>
    <t>call_1842</t>
  </si>
  <si>
    <t>call_1843</t>
  </si>
  <si>
    <t>call_1844</t>
  </si>
  <si>
    <t>call_1845</t>
  </si>
  <si>
    <t>call_1846</t>
  </si>
  <si>
    <t>call_1847</t>
  </si>
  <si>
    <t>call_1848</t>
  </si>
  <si>
    <t>call_1849</t>
  </si>
  <si>
    <t>call_1850</t>
  </si>
  <si>
    <t>call_1851</t>
  </si>
  <si>
    <t>call_1852</t>
  </si>
  <si>
    <t>call_1853</t>
  </si>
  <si>
    <t>call_1854</t>
  </si>
  <si>
    <t>call_1855</t>
  </si>
  <si>
    <t>call_1856</t>
  </si>
  <si>
    <t>call_1857</t>
  </si>
  <si>
    <t>call_1858</t>
  </si>
  <si>
    <t>call_1859</t>
  </si>
  <si>
    <t>call_1860</t>
  </si>
  <si>
    <t>call_1861</t>
  </si>
  <si>
    <t>call_1862</t>
  </si>
  <si>
    <t>call_1863</t>
  </si>
  <si>
    <t>call_1864</t>
  </si>
  <si>
    <t>call_1865</t>
  </si>
  <si>
    <t>call_1866</t>
  </si>
  <si>
    <t>call_1867</t>
  </si>
  <si>
    <t>call_1868</t>
  </si>
  <si>
    <t>call_1869</t>
  </si>
  <si>
    <t>call_1870</t>
  </si>
  <si>
    <t>call_1871</t>
  </si>
  <si>
    <t>call_1872</t>
  </si>
  <si>
    <t>call_1873</t>
  </si>
  <si>
    <t>call_1874</t>
  </si>
  <si>
    <t>call_1875</t>
  </si>
  <si>
    <t>call_1876</t>
  </si>
  <si>
    <t>call_1877</t>
  </si>
  <si>
    <t>call_1878</t>
  </si>
  <si>
    <t>call_1879</t>
  </si>
  <si>
    <t>call_1880</t>
  </si>
  <si>
    <t>call_1881</t>
  </si>
  <si>
    <t>call_1882</t>
  </si>
  <si>
    <t>call_1883</t>
  </si>
  <si>
    <t>call_1884</t>
  </si>
  <si>
    <t>call_1885</t>
  </si>
  <si>
    <t>call_1886</t>
  </si>
  <si>
    <t>call_1887</t>
  </si>
  <si>
    <t>call_1888</t>
  </si>
  <si>
    <t>call_1889</t>
  </si>
  <si>
    <t>call_1890</t>
  </si>
  <si>
    <t>call_1891</t>
  </si>
  <si>
    <t>call_1892</t>
  </si>
  <si>
    <t>call_1893</t>
  </si>
  <si>
    <t>call_1894</t>
  </si>
  <si>
    <t>call_1895</t>
  </si>
  <si>
    <t>call_1896</t>
  </si>
  <si>
    <t>call_1897</t>
  </si>
  <si>
    <t>call_1898</t>
  </si>
  <si>
    <t>call_1899</t>
  </si>
  <si>
    <t>call_1900</t>
  </si>
  <si>
    <t>call_1901</t>
  </si>
  <si>
    <t>call_1902</t>
  </si>
  <si>
    <t>call_1903</t>
  </si>
  <si>
    <t>call_1904</t>
  </si>
  <si>
    <t>call_1905</t>
  </si>
  <si>
    <t>call_1906</t>
  </si>
  <si>
    <t>call_1907</t>
  </si>
  <si>
    <t>call_1908</t>
  </si>
  <si>
    <t>call_1909</t>
  </si>
  <si>
    <t>call_1910</t>
  </si>
  <si>
    <t>call_1911</t>
  </si>
  <si>
    <t>call_1912</t>
  </si>
  <si>
    <t>call_1913</t>
  </si>
  <si>
    <t>call_1914</t>
  </si>
  <si>
    <t>call_1915</t>
  </si>
  <si>
    <t>call_1916</t>
  </si>
  <si>
    <t>call_1917</t>
  </si>
  <si>
    <t>call_1918</t>
  </si>
  <si>
    <t>call_1919</t>
  </si>
  <si>
    <t>call_1920</t>
  </si>
  <si>
    <t>call_1921</t>
  </si>
  <si>
    <t>call_1922</t>
  </si>
  <si>
    <t>call_1923</t>
  </si>
  <si>
    <t>call_1924</t>
  </si>
  <si>
    <t>call_1925</t>
  </si>
  <si>
    <t>call_1926</t>
  </si>
  <si>
    <t>call_1927</t>
  </si>
  <si>
    <t>call_1928</t>
  </si>
  <si>
    <t>call_1929</t>
  </si>
  <si>
    <t>call_1930</t>
  </si>
  <si>
    <t>call_1931</t>
  </si>
  <si>
    <t>call_1932</t>
  </si>
  <si>
    <t>call_1933</t>
  </si>
  <si>
    <t>call_1934</t>
  </si>
  <si>
    <t>call_1935</t>
  </si>
  <si>
    <t>call_1936</t>
  </si>
  <si>
    <t>call_1937</t>
  </si>
  <si>
    <t>call_1938</t>
  </si>
  <si>
    <t>call_1939</t>
  </si>
  <si>
    <t>call_1940</t>
  </si>
  <si>
    <t>call_1941</t>
  </si>
  <si>
    <t>call_1942</t>
  </si>
  <si>
    <t>call_1943</t>
  </si>
  <si>
    <t>call_1944</t>
  </si>
  <si>
    <t>call_1945</t>
  </si>
  <si>
    <t>call_1946</t>
  </si>
  <si>
    <t>call_1947</t>
  </si>
  <si>
    <t>call_1948</t>
  </si>
  <si>
    <t>call_1949</t>
  </si>
  <si>
    <t>call_1950</t>
  </si>
  <si>
    <t>call_1951</t>
  </si>
  <si>
    <t>call_1952</t>
  </si>
  <si>
    <t>call_1953</t>
  </si>
  <si>
    <t>call_1954</t>
  </si>
  <si>
    <t>call_1955</t>
  </si>
  <si>
    <t>call_1956</t>
  </si>
  <si>
    <t>call_1957</t>
  </si>
  <si>
    <t>call_1958</t>
  </si>
  <si>
    <t>call_1959</t>
  </si>
  <si>
    <t>call_1960</t>
  </si>
  <si>
    <t>call_1961</t>
  </si>
  <si>
    <t>call_1962</t>
  </si>
  <si>
    <t>call_1963</t>
  </si>
  <si>
    <t>call_1964</t>
  </si>
  <si>
    <t>call_1965</t>
  </si>
  <si>
    <t>call_1966</t>
  </si>
  <si>
    <t>call_1967</t>
  </si>
  <si>
    <t>call_1968</t>
  </si>
  <si>
    <t>call_1969</t>
  </si>
  <si>
    <t>call_1970</t>
  </si>
  <si>
    <t>call_1971</t>
  </si>
  <si>
    <t>call_1972</t>
  </si>
  <si>
    <t>call_1973</t>
  </si>
  <si>
    <t>call_1974</t>
  </si>
  <si>
    <t>call_1975</t>
  </si>
  <si>
    <t>call_1976</t>
  </si>
  <si>
    <t>call_1977</t>
  </si>
  <si>
    <t>call_1978</t>
  </si>
  <si>
    <t>call_1979</t>
  </si>
  <si>
    <t>call_1980</t>
  </si>
  <si>
    <t>call_1981</t>
  </si>
  <si>
    <t>call_1982</t>
  </si>
  <si>
    <t>call_1983</t>
  </si>
  <si>
    <t>call_1984</t>
  </si>
  <si>
    <t>call_1985</t>
  </si>
  <si>
    <t>call_1986</t>
  </si>
  <si>
    <t>call_1987</t>
  </si>
  <si>
    <t>call_1988</t>
  </si>
  <si>
    <t>call_1989</t>
  </si>
  <si>
    <t>call_1990</t>
  </si>
  <si>
    <t>call_1991</t>
  </si>
  <si>
    <t>call_1992</t>
  </si>
  <si>
    <t>call_1993</t>
  </si>
  <si>
    <t>call_1994</t>
  </si>
  <si>
    <t>call_1995</t>
  </si>
  <si>
    <t>call_1996</t>
  </si>
  <si>
    <t>call_1997</t>
  </si>
  <si>
    <t>call_1998</t>
  </si>
  <si>
    <t>call_1999</t>
  </si>
  <si>
    <t>C018</t>
  </si>
  <si>
    <t>C012</t>
  </si>
  <si>
    <t>C003</t>
  </si>
  <si>
    <t>C005</t>
  </si>
  <si>
    <t>C019</t>
  </si>
  <si>
    <t>C017</t>
  </si>
  <si>
    <t>C014</t>
  </si>
  <si>
    <t>C008</t>
  </si>
  <si>
    <t>C013</t>
  </si>
  <si>
    <t>C016</t>
  </si>
  <si>
    <t>C020</t>
  </si>
  <si>
    <t>C006</t>
  </si>
  <si>
    <t>C001</t>
  </si>
  <si>
    <t>C004</t>
  </si>
  <si>
    <t>C007</t>
  </si>
  <si>
    <t>C015</t>
  </si>
  <si>
    <t>C002</t>
  </si>
  <si>
    <t>C011</t>
  </si>
  <si>
    <t>C009</t>
  </si>
  <si>
    <t>C010</t>
  </si>
  <si>
    <t>R006</t>
  </si>
  <si>
    <t>R001</t>
  </si>
  <si>
    <t>R004</t>
  </si>
  <si>
    <t>R005</t>
  </si>
  <si>
    <t>R003</t>
  </si>
  <si>
    <t>R002</t>
  </si>
  <si>
    <t>R007</t>
  </si>
  <si>
    <t>1-Jan-25</t>
  </si>
  <si>
    <t>2-Jan-25</t>
  </si>
  <si>
    <t>3-Jan-25</t>
  </si>
  <si>
    <t>4-Jan-25</t>
  </si>
  <si>
    <t>5-Jan-25</t>
  </si>
  <si>
    <t>6-Jan-25</t>
  </si>
  <si>
    <t>7-Jan-25</t>
  </si>
  <si>
    <t>8-Jan-25</t>
  </si>
  <si>
    <t>9-Jan-25</t>
  </si>
  <si>
    <t>10-Jan-25</t>
  </si>
  <si>
    <t>11-Jan-25</t>
  </si>
  <si>
    <t>12-Jan-25</t>
  </si>
  <si>
    <t>13-Jan-25</t>
  </si>
  <si>
    <t>14-Jan-25</t>
  </si>
  <si>
    <t>15-Jan-25</t>
  </si>
  <si>
    <t>16-Jan-25</t>
  </si>
  <si>
    <t>17-Jan-25</t>
  </si>
  <si>
    <t>18-Jan-25</t>
  </si>
  <si>
    <t>19-Jan-25</t>
  </si>
  <si>
    <t>20-Jan-25</t>
  </si>
  <si>
    <t>21-Jan-25</t>
  </si>
  <si>
    <t>22-Jan-25</t>
  </si>
  <si>
    <t>23-Jan-25</t>
  </si>
  <si>
    <t>24-Jan-25</t>
  </si>
  <si>
    <t>25-Jan-25</t>
  </si>
  <si>
    <t>26-Jan-25</t>
  </si>
  <si>
    <t>27-Jan-25</t>
  </si>
  <si>
    <t>28-Jan-25</t>
  </si>
  <si>
    <t>29-Jan-25</t>
  </si>
  <si>
    <t>30-Jan-25</t>
  </si>
  <si>
    <t>31-Jan-25</t>
  </si>
  <si>
    <t>1-Feb-25</t>
  </si>
  <si>
    <t>2-Feb-25</t>
  </si>
  <si>
    <t>3-Feb-25</t>
  </si>
  <si>
    <t>4-Feb-25</t>
  </si>
  <si>
    <t>5-Feb-25</t>
  </si>
  <si>
    <t>6-Feb-25</t>
  </si>
  <si>
    <t>7-Feb-25</t>
  </si>
  <si>
    <t>8-Feb-25</t>
  </si>
  <si>
    <t>9-Feb-25</t>
  </si>
  <si>
    <t>10-Feb-25</t>
  </si>
  <si>
    <t>11-Feb-25</t>
  </si>
  <si>
    <t>12-Feb-25</t>
  </si>
  <si>
    <t>13-Feb-25</t>
  </si>
  <si>
    <t>14-Feb-25</t>
  </si>
  <si>
    <t>15-Feb-25</t>
  </si>
  <si>
    <t>16-Feb-25</t>
  </si>
  <si>
    <t>17-Feb-25</t>
  </si>
  <si>
    <t>18-Feb-25</t>
  </si>
  <si>
    <t>19-Feb-25</t>
  </si>
  <si>
    <t>20-Feb-25</t>
  </si>
  <si>
    <t>21-Feb-25</t>
  </si>
  <si>
    <t>22-Feb-25</t>
  </si>
  <si>
    <t>23-Feb-25</t>
  </si>
  <si>
    <t>24-Feb-25</t>
  </si>
  <si>
    <t>25-Feb-25</t>
  </si>
  <si>
    <t>26-Feb-25</t>
  </si>
  <si>
    <t>27-Feb-25</t>
  </si>
  <si>
    <t>28-Feb-25</t>
  </si>
  <si>
    <t>1-Mar-25</t>
  </si>
  <si>
    <t>2-Mar-25</t>
  </si>
  <si>
    <t>3-Mar-25</t>
  </si>
  <si>
    <t>4-Mar-25</t>
  </si>
  <si>
    <t>5-Mar-25</t>
  </si>
  <si>
    <t>6-Mar-25</t>
  </si>
  <si>
    <t>7-Mar-25</t>
  </si>
  <si>
    <t>8-Mar-25</t>
  </si>
  <si>
    <t>9-Mar-25</t>
  </si>
  <si>
    <t>10-Mar-25</t>
  </si>
  <si>
    <t>11-Mar-25</t>
  </si>
  <si>
    <t>12-Mar-25</t>
  </si>
  <si>
    <t>13-Mar-25</t>
  </si>
  <si>
    <t>14-Mar-25</t>
  </si>
  <si>
    <t>15-Mar-25</t>
  </si>
  <si>
    <t>16-Mar-25</t>
  </si>
  <si>
    <t>17-Mar-25</t>
  </si>
  <si>
    <t>18-Mar-25</t>
  </si>
  <si>
    <t>19-Mar-25</t>
  </si>
  <si>
    <t>20-Mar-25</t>
  </si>
  <si>
    <t>21-Mar-25</t>
  </si>
  <si>
    <t>22-Mar-25</t>
  </si>
  <si>
    <t>23-Mar-25</t>
  </si>
  <si>
    <t>24-Mar-25</t>
  </si>
  <si>
    <t>25-Mar-25</t>
  </si>
  <si>
    <t>26-Mar-25</t>
  </si>
  <si>
    <t>27-Mar-25</t>
  </si>
  <si>
    <t>28-Mar-25</t>
  </si>
  <si>
    <t>29-Mar-25</t>
  </si>
  <si>
    <t>30-Mar-25</t>
  </si>
  <si>
    <t>31-Mar-25</t>
  </si>
  <si>
    <t>1-Apr-25</t>
  </si>
  <si>
    <t>2-Apr-25</t>
  </si>
  <si>
    <t>3-Apr-25</t>
  </si>
  <si>
    <t>4-Apr-25</t>
  </si>
  <si>
    <t>5-Apr-25</t>
  </si>
  <si>
    <t>6-Apr-25</t>
  </si>
  <si>
    <t>7-Apr-25</t>
  </si>
  <si>
    <t>8-Apr-25</t>
  </si>
  <si>
    <t>9-Apr-25</t>
  </si>
  <si>
    <t>10-Apr-25</t>
  </si>
  <si>
    <t>11-Apr-25</t>
  </si>
  <si>
    <t>12-Apr-25</t>
  </si>
  <si>
    <t>13-Apr-25</t>
  </si>
  <si>
    <t>14-Apr-25</t>
  </si>
  <si>
    <t>15-Apr-25</t>
  </si>
  <si>
    <t>16-Apr-25</t>
  </si>
  <si>
    <t>17-Apr-25</t>
  </si>
  <si>
    <t>18-Apr-25</t>
  </si>
  <si>
    <t>19-Apr-25</t>
  </si>
  <si>
    <t>20-Apr-25</t>
  </si>
  <si>
    <t>21-Apr-25</t>
  </si>
  <si>
    <t>22-Apr-25</t>
  </si>
  <si>
    <t>23-Apr-25</t>
  </si>
  <si>
    <t>24-Apr-25</t>
  </si>
  <si>
    <t>25-Apr-25</t>
  </si>
  <si>
    <t>26-Apr-25</t>
  </si>
  <si>
    <t>27-Apr-25</t>
  </si>
  <si>
    <t>28-Apr-25</t>
  </si>
  <si>
    <t>29-Apr-25</t>
  </si>
  <si>
    <t>30-Apr-25</t>
  </si>
  <si>
    <t>1-May-25</t>
  </si>
  <si>
    <t>2-May-25</t>
  </si>
  <si>
    <t>3-May-25</t>
  </si>
  <si>
    <t>4-May-25</t>
  </si>
  <si>
    <t>5-May-25</t>
  </si>
  <si>
    <t>6-May-25</t>
  </si>
  <si>
    <t>7-May-25</t>
  </si>
  <si>
    <t>8-May-25</t>
  </si>
  <si>
    <t>9-May-25</t>
  </si>
  <si>
    <t>10-May-25</t>
  </si>
  <si>
    <t>11-May-25</t>
  </si>
  <si>
    <t>12-May-25</t>
  </si>
  <si>
    <t>13-May-25</t>
  </si>
  <si>
    <t>14-May-25</t>
  </si>
  <si>
    <t>15-May-25</t>
  </si>
  <si>
    <t>16-May-25</t>
  </si>
  <si>
    <t>17-May-25</t>
  </si>
  <si>
    <t>18-May-25</t>
  </si>
  <si>
    <t>19-May-25</t>
  </si>
  <si>
    <t>20-May-25</t>
  </si>
  <si>
    <t>21-May-25</t>
  </si>
  <si>
    <t>22-May-25</t>
  </si>
  <si>
    <t>23-May-25</t>
  </si>
  <si>
    <t>24-May-25</t>
  </si>
  <si>
    <t>25-May-25</t>
  </si>
  <si>
    <t>26-May-25</t>
  </si>
  <si>
    <t>27-May-25</t>
  </si>
  <si>
    <t>28-May-25</t>
  </si>
  <si>
    <t>29-May-25</t>
  </si>
  <si>
    <t>30-May-25</t>
  </si>
  <si>
    <t>31-May-25</t>
  </si>
  <si>
    <t>1-Jun-25</t>
  </si>
  <si>
    <t>2-Jun-25</t>
  </si>
  <si>
    <t>3-Jun-25</t>
  </si>
  <si>
    <t>4-Jun-25</t>
  </si>
  <si>
    <t>5-Jun-25</t>
  </si>
  <si>
    <t>6-Jun-25</t>
  </si>
  <si>
    <t>7-Jun-25</t>
  </si>
  <si>
    <t>8-Jun-25</t>
  </si>
  <si>
    <t>9-Jun-25</t>
  </si>
  <si>
    <t>10-Jun-25</t>
  </si>
  <si>
    <t>11-Jun-25</t>
  </si>
  <si>
    <t>12-Jun-25</t>
  </si>
  <si>
    <t>13-Jun-25</t>
  </si>
  <si>
    <t>14-Jun-25</t>
  </si>
  <si>
    <t>15-Jun-25</t>
  </si>
  <si>
    <t>16-Jun-25</t>
  </si>
  <si>
    <t>17-Jun-25</t>
  </si>
  <si>
    <t>18-Jun-25</t>
  </si>
  <si>
    <t>19-Jun-25</t>
  </si>
  <si>
    <t>20-Jun-25</t>
  </si>
  <si>
    <t>21-Jun-25</t>
  </si>
  <si>
    <t>22-Jun-25</t>
  </si>
  <si>
    <t>23-Jun-25</t>
  </si>
  <si>
    <t>24-Jun-25</t>
  </si>
  <si>
    <t>25-Jun-25</t>
  </si>
  <si>
    <t>26-Jun-25</t>
  </si>
  <si>
    <t>27-Jun-25</t>
  </si>
  <si>
    <t>28-Jun-25</t>
  </si>
  <si>
    <t>29-Jun-25</t>
  </si>
  <si>
    <t>30-Jun-25</t>
  </si>
  <si>
    <t>1-Jul-25</t>
  </si>
  <si>
    <t>2-Jul-25</t>
  </si>
  <si>
    <t>3-Jul-25</t>
  </si>
  <si>
    <t>4-Jul-25</t>
  </si>
  <si>
    <t>5-Jul-25</t>
  </si>
  <si>
    <t>6-Jul-25</t>
  </si>
  <si>
    <t>7-Jul-25</t>
  </si>
  <si>
    <t>8-Jul-25</t>
  </si>
  <si>
    <t>9-Jul-25</t>
  </si>
  <si>
    <t>10-Jul-25</t>
  </si>
  <si>
    <t>11-Jul-25</t>
  </si>
  <si>
    <t>12-Jul-25</t>
  </si>
  <si>
    <t>13-Jul-25</t>
  </si>
  <si>
    <t>14-Jul-25</t>
  </si>
  <si>
    <t>15-Jul-25</t>
  </si>
  <si>
    <t>16-Jul-25</t>
  </si>
  <si>
    <t>17-Jul-25</t>
  </si>
  <si>
    <t>18-Jul-25</t>
  </si>
  <si>
    <t>19-Jul-25</t>
  </si>
  <si>
    <t>Representative</t>
  </si>
  <si>
    <t>Rounded Rating</t>
  </si>
  <si>
    <t>Duration Bucket</t>
  </si>
  <si>
    <t>FY</t>
  </si>
  <si>
    <t>Day of week</t>
  </si>
  <si>
    <t>Row Labels</t>
  </si>
  <si>
    <t>Grand Total</t>
  </si>
  <si>
    <t>Gender</t>
  </si>
  <si>
    <t>Female</t>
  </si>
  <si>
    <t>Male</t>
  </si>
  <si>
    <t>Age</t>
  </si>
  <si>
    <t>City</t>
  </si>
  <si>
    <t>Chennai</t>
  </si>
  <si>
    <t>Madurai</t>
  </si>
  <si>
    <t>Trichy</t>
  </si>
  <si>
    <t>Salem</t>
  </si>
  <si>
    <t>Call Count</t>
  </si>
  <si>
    <t>Total Amount</t>
  </si>
  <si>
    <t>Total Duration</t>
  </si>
  <si>
    <t>Average Rating</t>
  </si>
  <si>
    <t>5*Calls</t>
  </si>
  <si>
    <t>Month</t>
  </si>
  <si>
    <t>Jan</t>
  </si>
  <si>
    <t>Feb</t>
  </si>
  <si>
    <t>Mar</t>
  </si>
  <si>
    <t>Apr</t>
  </si>
  <si>
    <t>May</t>
  </si>
  <si>
    <t>Jun</t>
  </si>
  <si>
    <t>Jul</t>
  </si>
  <si>
    <t>Call Count2</t>
  </si>
  <si>
    <t>Friday</t>
  </si>
  <si>
    <t>Monday</t>
  </si>
  <si>
    <t>Saturday</t>
  </si>
  <si>
    <t>Sunday</t>
  </si>
  <si>
    <t>Thursday</t>
  </si>
  <si>
    <t>Tuesday</t>
  </si>
  <si>
    <t>Wednesday</t>
  </si>
  <si>
    <t>for graph:</t>
  </si>
  <si>
    <t>Reps</t>
  </si>
  <si>
    <t>Call count</t>
  </si>
  <si>
    <t>Total Amt.</t>
  </si>
  <si>
    <t>Chart Amt.</t>
  </si>
  <si>
    <t>Chart count</t>
  </si>
  <si>
    <t>Selected cell</t>
  </si>
  <si>
    <t>Column Labels</t>
  </si>
  <si>
    <t>TOTAL</t>
  </si>
  <si>
    <t>%of calls</t>
  </si>
  <si>
    <t>calls</t>
  </si>
  <si>
    <t>amount</t>
  </si>
  <si>
    <t>Call Rank</t>
  </si>
  <si>
    <t>Amount Rank</t>
  </si>
  <si>
    <t>Labels</t>
  </si>
  <si>
    <t>Name</t>
  </si>
  <si>
    <t>Jack</t>
  </si>
  <si>
    <t>Joe</t>
  </si>
  <si>
    <t>Damon</t>
  </si>
  <si>
    <t>Nic</t>
  </si>
  <si>
    <t>Rayana</t>
  </si>
  <si>
    <t>Klaus</t>
  </si>
  <si>
    <t>Elena</t>
  </si>
  <si>
    <t>CALL CENTRE REPORT-2025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</si>
</sst>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0.0"/>
    <numFmt numFmtId="165" formatCode="[$-F800]dddd\,\ mmmm\ dd\,\ yyyy"/>
    <numFmt numFmtId="166" formatCode="&quot;₹&quot;\ #.0,&quot;K&quot;"/>
    <numFmt numFmtId="167" formatCode="&quot;₹&quot;\ #.0,&quot;k&quot;"/>
    <numFmt numFmtId="168" formatCode="&quot;₹&quot;\ #,##0;#,##0\ \-&quot;₹&quot;;&quot;₹&quot;\ #,##0"/>
    <numFmt numFmtId="169" formatCode="_ [$₹-4009]\ * #,##0.00_ ;_ [$₹-4009]\ * \-#,##0.00_ ;_ [$₹-4009]\ * &quot;-&quot;??_ ;_ @_ "/>
  </numFmts>
  <fonts count="7"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24"/>
      <color theme="6" tint="-0.249977111117893"/>
      <name val="Calibri"/>
      <family val="2"/>
      <scheme val="minor"/>
    </font>
    <font>
      <sz val="11"/>
      <color theme="7" tint="-0.249977111117893"/>
      <name val="Calibri"/>
      <family val="2"/>
      <scheme val="minor"/>
    </font>
    <font>
      <b/>
      <i/>
      <sz val="26"/>
      <color theme="7" tint="-0.499984740745262"/>
      <name val="Book Antiqua"/>
      <family val="1"/>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10">
    <border>
      <left/>
      <right/>
      <top/>
      <bottom/>
      <diagonal/>
    </border>
    <border>
      <left style="thin">
        <color auto="1"/>
      </left>
      <right style="thin">
        <color auto="1"/>
      </right>
      <top/>
      <bottom style="thin">
        <color auto="1"/>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3" fontId="0" fillId="0" borderId="0" xfId="0" applyNumberFormat="1"/>
    <xf numFmtId="164" fontId="0" fillId="0" borderId="0" xfId="0" applyNumberFormat="1"/>
    <xf numFmtId="0" fontId="1" fillId="2" borderId="0" xfId="0" applyFont="1" applyFill="1"/>
    <xf numFmtId="165" fontId="1" fillId="0" borderId="1" xfId="0" applyNumberFormat="1" applyFont="1" applyBorder="1" applyAlignment="1">
      <alignment horizontal="center" vertical="top"/>
    </xf>
    <xf numFmtId="166" fontId="0" fillId="0" borderId="0" xfId="0" applyNumberFormat="1"/>
    <xf numFmtId="0" fontId="1" fillId="3" borderId="0" xfId="0" applyFont="1" applyFill="1"/>
    <xf numFmtId="167" fontId="0" fillId="0" borderId="0" xfId="0" applyNumberFormat="1"/>
    <xf numFmtId="0" fontId="1" fillId="4" borderId="0" xfId="0" applyFont="1" applyFill="1"/>
    <xf numFmtId="168" fontId="0" fillId="0" borderId="0" xfId="0" applyNumberFormat="1"/>
    <xf numFmtId="3" fontId="1" fillId="4" borderId="0" xfId="0" applyNumberFormat="1" applyFont="1" applyFill="1"/>
    <xf numFmtId="0" fontId="0" fillId="0" borderId="0" xfId="0" applyAlignment="1">
      <alignment horizontal="left" indent="1"/>
    </xf>
    <xf numFmtId="0" fontId="0" fillId="5" borderId="0" xfId="0" applyFill="1"/>
    <xf numFmtId="169" fontId="0" fillId="5" borderId="0" xfId="0" applyNumberFormat="1" applyFill="1"/>
    <xf numFmtId="0" fontId="0" fillId="5" borderId="2" xfId="0" applyFill="1" applyBorder="1"/>
    <xf numFmtId="0" fontId="1" fillId="5" borderId="3" xfId="0" applyFont="1" applyFill="1" applyBorder="1"/>
    <xf numFmtId="0" fontId="1" fillId="5" borderId="4" xfId="0" applyFont="1" applyFill="1" applyBorder="1"/>
    <xf numFmtId="0" fontId="1" fillId="5" borderId="5" xfId="0" applyFont="1" applyFill="1" applyBorder="1"/>
    <xf numFmtId="0" fontId="0" fillId="5" borderId="6" xfId="0" applyFill="1" applyBorder="1"/>
    <xf numFmtId="0" fontId="0" fillId="5" borderId="5" xfId="0" applyFill="1" applyBorder="1" applyAlignment="1">
      <alignment horizontal="left" indent="1"/>
    </xf>
    <xf numFmtId="169" fontId="0" fillId="5" borderId="6" xfId="0" applyNumberFormat="1" applyFill="1" applyBorder="1"/>
    <xf numFmtId="0" fontId="1" fillId="5" borderId="5" xfId="0" applyFont="1" applyFill="1" applyBorder="1" applyAlignment="1">
      <alignment horizontal="left"/>
    </xf>
    <xf numFmtId="0" fontId="0" fillId="5" borderId="7" xfId="0" applyFill="1" applyBorder="1" applyAlignment="1">
      <alignment horizontal="left" indent="1"/>
    </xf>
    <xf numFmtId="169" fontId="0" fillId="5" borderId="8" xfId="0" applyNumberFormat="1" applyFill="1" applyBorder="1"/>
    <xf numFmtId="169" fontId="0" fillId="5" borderId="9" xfId="0" applyNumberFormat="1" applyFill="1" applyBorder="1"/>
    <xf numFmtId="0" fontId="0" fillId="0" borderId="0" xfId="0" applyAlignment="1">
      <alignment wrapText="1"/>
    </xf>
    <xf numFmtId="0" fontId="1" fillId="0" borderId="0" xfId="0" applyFont="1"/>
    <xf numFmtId="9" fontId="0" fillId="0" borderId="0" xfId="2" applyFont="1"/>
    <xf numFmtId="0" fontId="0" fillId="0" borderId="0" xfId="1" applyNumberFormat="1" applyFont="1"/>
    <xf numFmtId="0" fontId="4" fillId="2" borderId="0" xfId="0" applyFont="1" applyFill="1" applyAlignment="1">
      <alignment horizontal="center"/>
    </xf>
    <xf numFmtId="0" fontId="5" fillId="2" borderId="0" xfId="0" applyFont="1" applyFill="1"/>
    <xf numFmtId="0" fontId="6" fillId="2" borderId="0" xfId="0" applyFont="1" applyFill="1"/>
  </cellXfs>
  <cellStyles count="3">
    <cellStyle name="Currency" xfId="1" builtinId="4"/>
    <cellStyle name="Normal" xfId="0" builtinId="0"/>
    <cellStyle name="Percent" xfId="2" builtinId="5"/>
  </cellStyles>
  <dxfs count="10">
    <dxf>
      <fill>
        <patternFill>
          <bgColor theme="6" tint="0.59996337778862885"/>
        </patternFill>
      </fill>
      <border>
        <left style="thin">
          <color auto="1"/>
        </left>
        <right style="thin">
          <color auto="1"/>
        </right>
        <top style="thin">
          <color auto="1"/>
        </top>
        <bottom style="thin">
          <color auto="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[Dashboard.xlsx]Pivots!weekday trend</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36710741346011"/>
          <c:y val="7.3333333333333334E-2"/>
          <c:w val="0.69353855296389844"/>
          <c:h val="0.89333333333333331"/>
        </c:manualLayout>
      </c:layout>
      <c:barChart>
        <c:barDir val="bar"/>
        <c:grouping val="clustered"/>
        <c:varyColors val="0"/>
        <c:ser>
          <c:idx val="0"/>
          <c:order val="0"/>
          <c:tx>
            <c:strRef>
              <c:f>Pivots!$F$15</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Pivots!$E$16:$E$23</c:f>
              <c:strCache>
                <c:ptCount val="7"/>
                <c:pt idx="0">
                  <c:v>Sunday</c:v>
                </c:pt>
                <c:pt idx="1">
                  <c:v>Monday</c:v>
                </c:pt>
                <c:pt idx="2">
                  <c:v>Tuesday</c:v>
                </c:pt>
                <c:pt idx="3">
                  <c:v>Wednesday</c:v>
                </c:pt>
                <c:pt idx="4">
                  <c:v>Thursday</c:v>
                </c:pt>
                <c:pt idx="5">
                  <c:v>Friday</c:v>
                </c:pt>
                <c:pt idx="6">
                  <c:v>Saturday</c:v>
                </c:pt>
              </c:strCache>
            </c:strRef>
          </c:cat>
          <c:val>
            <c:numRef>
              <c:f>Pivots!$F$16:$F$23</c:f>
              <c:numCache>
                <c:formatCode>#,##0</c:formatCode>
                <c:ptCount val="7"/>
                <c:pt idx="0">
                  <c:v>15</c:v>
                </c:pt>
                <c:pt idx="1">
                  <c:v>16</c:v>
                </c:pt>
                <c:pt idx="2">
                  <c:v>19</c:v>
                </c:pt>
                <c:pt idx="3">
                  <c:v>17</c:v>
                </c:pt>
                <c:pt idx="4">
                  <c:v>16</c:v>
                </c:pt>
                <c:pt idx="5">
                  <c:v>19</c:v>
                </c:pt>
                <c:pt idx="6">
                  <c:v>16</c:v>
                </c:pt>
              </c:numCache>
            </c:numRef>
          </c:val>
          <c:extLst>
            <c:ext xmlns:c16="http://schemas.microsoft.com/office/drawing/2014/chart" uri="{C3380CC4-5D6E-409C-BE32-E72D297353CC}">
              <c16:uniqueId val="{00000001-A185-40E0-9FEE-6FCDAAC7A17C}"/>
            </c:ext>
          </c:extLst>
        </c:ser>
        <c:dLbls>
          <c:dLblPos val="outEnd"/>
          <c:showLegendKey val="0"/>
          <c:showVal val="1"/>
          <c:showCatName val="0"/>
          <c:showSerName val="0"/>
          <c:showPercent val="0"/>
          <c:showBubbleSize val="0"/>
        </c:dLbls>
        <c:gapWidth val="23"/>
        <c:axId val="946330912"/>
        <c:axId val="946331392"/>
      </c:barChart>
      <c:catAx>
        <c:axId val="946330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946331392"/>
        <c:crosses val="autoZero"/>
        <c:auto val="1"/>
        <c:lblAlgn val="ctr"/>
        <c:lblOffset val="100"/>
        <c:noMultiLvlLbl val="0"/>
      </c:catAx>
      <c:valAx>
        <c:axId val="946331392"/>
        <c:scaling>
          <c:orientation val="minMax"/>
        </c:scaling>
        <c:delete val="1"/>
        <c:axPos val="b"/>
        <c:numFmt formatCode="#,##0" sourceLinked="1"/>
        <c:majorTickMark val="none"/>
        <c:minorTickMark val="none"/>
        <c:tickLblPos val="nextTo"/>
        <c:crossAx val="94633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[Dashboard.xlsx]Pivots!Monthly trend</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4">
                    <a:lumMod val="75000"/>
                  </a:schemeClr>
                </a:solidFill>
                <a:latin typeface="+mn-lt"/>
              </a:rPr>
              <a:t>Call</a:t>
            </a:r>
            <a:r>
              <a:rPr lang="en-IN" sz="1800" b="1" baseline="0">
                <a:solidFill>
                  <a:schemeClr val="accent4">
                    <a:lumMod val="75000"/>
                  </a:schemeClr>
                </a:solidFill>
                <a:latin typeface="+mn-lt"/>
              </a:rPr>
              <a:t> Trend</a:t>
            </a:r>
            <a:endParaRPr lang="en-IN" sz="1800" b="1">
              <a:solidFill>
                <a:schemeClr val="accent4">
                  <a:lumMod val="75000"/>
                </a:schemeClr>
              </a:solidFill>
              <a:latin typeface="+mn-lt"/>
            </a:endParaRPr>
          </a:p>
        </c:rich>
      </c:tx>
      <c:layout>
        <c:manualLayout>
          <c:xMode val="edge"/>
          <c:yMode val="edge"/>
          <c:x val="8.0797561576336462E-3"/>
          <c:y val="3.2407349081364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lumMod val="60000"/>
                  <a:lumOff val="40000"/>
                </a:schemeClr>
              </a:gs>
              <a:gs pos="74000">
                <a:schemeClr val="accent4">
                  <a:lumMod val="40000"/>
                  <a:lumOff val="60000"/>
                </a:schemeClr>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75000"/>
              </a:schemeClr>
            </a:solidFill>
            <a:round/>
          </a:ln>
          <a:effectLst/>
        </c:spPr>
        <c:marker>
          <c:symbol val="circle"/>
          <c:size val="5"/>
          <c:spPr>
            <a:solidFill>
              <a:schemeClr val="accent4">
                <a:lumMod val="20000"/>
                <a:lumOff val="80000"/>
              </a:schemeClr>
            </a:solidFill>
            <a:ln w="15875">
              <a:solidFill>
                <a:schemeClr val="accent4">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Pivots!$C$15</c:f>
              <c:strCache>
                <c:ptCount val="1"/>
                <c:pt idx="0">
                  <c:v>Call Count2</c:v>
                </c:pt>
              </c:strCache>
            </c:strRef>
          </c:tx>
          <c:spPr>
            <a:gradFill>
              <a:gsLst>
                <a:gs pos="0">
                  <a:schemeClr val="accent4">
                    <a:lumMod val="60000"/>
                    <a:lumOff val="40000"/>
                  </a:schemeClr>
                </a:gs>
                <a:gs pos="74000">
                  <a:schemeClr val="accent4">
                    <a:lumMod val="40000"/>
                    <a:lumOff val="60000"/>
                  </a:schemeClr>
                </a:gs>
                <a:gs pos="100000">
                  <a:schemeClr val="accent4">
                    <a:lumMod val="20000"/>
                    <a:lumOff val="80000"/>
                  </a:schemeClr>
                </a:gs>
              </a:gsLst>
              <a:lin ang="5400000" scaled="1"/>
            </a:gradFill>
            <a:ln>
              <a:noFill/>
            </a:ln>
            <a:effectLst/>
          </c:spPr>
          <c:cat>
            <c:strRef>
              <c:f>Pivots!$A$16:$A$23</c:f>
              <c:strCache>
                <c:ptCount val="7"/>
                <c:pt idx="0">
                  <c:v>Jan</c:v>
                </c:pt>
                <c:pt idx="1">
                  <c:v>Feb</c:v>
                </c:pt>
                <c:pt idx="2">
                  <c:v>Mar</c:v>
                </c:pt>
                <c:pt idx="3">
                  <c:v>Apr</c:v>
                </c:pt>
                <c:pt idx="4">
                  <c:v>May</c:v>
                </c:pt>
                <c:pt idx="5">
                  <c:v>Jun</c:v>
                </c:pt>
                <c:pt idx="6">
                  <c:v>Jul</c:v>
                </c:pt>
              </c:strCache>
            </c:strRef>
          </c:cat>
          <c:val>
            <c:numRef>
              <c:f>Pivots!$C$16:$C$23</c:f>
              <c:numCache>
                <c:formatCode>#,##0</c:formatCode>
                <c:ptCount val="7"/>
                <c:pt idx="0">
                  <c:v>12</c:v>
                </c:pt>
                <c:pt idx="1">
                  <c:v>20</c:v>
                </c:pt>
                <c:pt idx="2">
                  <c:v>20</c:v>
                </c:pt>
                <c:pt idx="3">
                  <c:v>13</c:v>
                </c:pt>
                <c:pt idx="4">
                  <c:v>19</c:v>
                </c:pt>
                <c:pt idx="5">
                  <c:v>22</c:v>
                </c:pt>
                <c:pt idx="6">
                  <c:v>12</c:v>
                </c:pt>
              </c:numCache>
            </c:numRef>
          </c:val>
          <c:extLst>
            <c:ext xmlns:c16="http://schemas.microsoft.com/office/drawing/2014/chart" uri="{C3380CC4-5D6E-409C-BE32-E72D297353CC}">
              <c16:uniqueId val="{00000000-F682-484D-9327-067453CFBA14}"/>
            </c:ext>
          </c:extLst>
        </c:ser>
        <c:dLbls>
          <c:showLegendKey val="0"/>
          <c:showVal val="0"/>
          <c:showCatName val="0"/>
          <c:showSerName val="0"/>
          <c:showPercent val="0"/>
          <c:showBubbleSize val="0"/>
        </c:dLbls>
        <c:axId val="2000898863"/>
        <c:axId val="2001899135"/>
      </c:areaChart>
      <c:lineChart>
        <c:grouping val="standard"/>
        <c:varyColors val="0"/>
        <c:ser>
          <c:idx val="0"/>
          <c:order val="0"/>
          <c:tx>
            <c:strRef>
              <c:f>Pivots!$B$15</c:f>
              <c:strCache>
                <c:ptCount val="1"/>
                <c:pt idx="0">
                  <c:v>Call Count</c:v>
                </c:pt>
              </c:strCache>
            </c:strRef>
          </c:tx>
          <c:spPr>
            <a:ln w="28575" cap="rnd">
              <a:solidFill>
                <a:schemeClr val="accent4">
                  <a:lumMod val="75000"/>
                </a:schemeClr>
              </a:solidFill>
              <a:round/>
            </a:ln>
            <a:effectLst/>
          </c:spPr>
          <c:marker>
            <c:symbol val="circle"/>
            <c:size val="5"/>
            <c:spPr>
              <a:solidFill>
                <a:schemeClr val="accent4">
                  <a:lumMod val="20000"/>
                  <a:lumOff val="80000"/>
                </a:schemeClr>
              </a:solidFill>
              <a:ln w="15875">
                <a:solidFill>
                  <a:schemeClr val="accent4">
                    <a:lumMod val="75000"/>
                  </a:schemeClr>
                </a:solidFill>
              </a:ln>
              <a:effectLst/>
            </c:spPr>
          </c:marker>
          <c:cat>
            <c:strRef>
              <c:f>Pivots!$A$16:$A$23</c:f>
              <c:strCache>
                <c:ptCount val="7"/>
                <c:pt idx="0">
                  <c:v>Jan</c:v>
                </c:pt>
                <c:pt idx="1">
                  <c:v>Feb</c:v>
                </c:pt>
                <c:pt idx="2">
                  <c:v>Mar</c:v>
                </c:pt>
                <c:pt idx="3">
                  <c:v>Apr</c:v>
                </c:pt>
                <c:pt idx="4">
                  <c:v>May</c:v>
                </c:pt>
                <c:pt idx="5">
                  <c:v>Jun</c:v>
                </c:pt>
                <c:pt idx="6">
                  <c:v>Jul</c:v>
                </c:pt>
              </c:strCache>
            </c:strRef>
          </c:cat>
          <c:val>
            <c:numRef>
              <c:f>Pivots!$B$16:$B$23</c:f>
              <c:numCache>
                <c:formatCode>#,##0</c:formatCode>
                <c:ptCount val="7"/>
                <c:pt idx="0">
                  <c:v>12</c:v>
                </c:pt>
                <c:pt idx="1">
                  <c:v>20</c:v>
                </c:pt>
                <c:pt idx="2">
                  <c:v>20</c:v>
                </c:pt>
                <c:pt idx="3">
                  <c:v>13</c:v>
                </c:pt>
                <c:pt idx="4">
                  <c:v>19</c:v>
                </c:pt>
                <c:pt idx="5">
                  <c:v>22</c:v>
                </c:pt>
                <c:pt idx="6">
                  <c:v>12</c:v>
                </c:pt>
              </c:numCache>
            </c:numRef>
          </c:val>
          <c:smooth val="0"/>
          <c:extLst>
            <c:ext xmlns:c16="http://schemas.microsoft.com/office/drawing/2014/chart" uri="{C3380CC4-5D6E-409C-BE32-E72D297353CC}">
              <c16:uniqueId val="{00000001-F682-484D-9327-067453CFBA14}"/>
            </c:ext>
          </c:extLst>
        </c:ser>
        <c:dLbls>
          <c:showLegendKey val="0"/>
          <c:showVal val="0"/>
          <c:showCatName val="0"/>
          <c:showSerName val="0"/>
          <c:showPercent val="0"/>
          <c:showBubbleSize val="0"/>
        </c:dLbls>
        <c:marker val="1"/>
        <c:smooth val="0"/>
        <c:axId val="2000898863"/>
        <c:axId val="2001899135"/>
      </c:lineChart>
      <c:catAx>
        <c:axId val="200089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99135"/>
        <c:crosses val="autoZero"/>
        <c:auto val="1"/>
        <c:lblAlgn val="ctr"/>
        <c:lblOffset val="100"/>
        <c:noMultiLvlLbl val="0"/>
      </c:catAx>
      <c:valAx>
        <c:axId val="2001899135"/>
        <c:scaling>
          <c:orientation val="minMax"/>
        </c:scaling>
        <c:delete val="0"/>
        <c:axPos val="l"/>
        <c:majorGridlines>
          <c:spPr>
            <a:ln w="9525" cap="flat" cmpd="sng" algn="ctr">
              <a:solidFill>
                <a:schemeClr val="accent4">
                  <a:lumMod val="75000"/>
                  <a:alpha val="18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89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Amount</a:t>
            </a:r>
          </a:p>
        </c:rich>
      </c:tx>
      <c:layout>
        <c:manualLayout>
          <c:xMode val="edge"/>
          <c:yMode val="edge"/>
          <c:x val="3.9483251477904983E-2"/>
          <c:y val="2.4505575076732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Pivots!$N$5:$N$11</c:f>
              <c:strCache>
                <c:ptCount val="7"/>
                <c:pt idx="0">
                  <c:v>R001</c:v>
                </c:pt>
                <c:pt idx="1">
                  <c:v>R002</c:v>
                </c:pt>
                <c:pt idx="2">
                  <c:v>R003</c:v>
                </c:pt>
                <c:pt idx="3">
                  <c:v>R004</c:v>
                </c:pt>
                <c:pt idx="4">
                  <c:v>R005</c:v>
                </c:pt>
                <c:pt idx="5">
                  <c:v>R006</c:v>
                </c:pt>
                <c:pt idx="6">
                  <c:v>R007</c:v>
                </c:pt>
              </c:strCache>
            </c:strRef>
          </c:cat>
          <c:val>
            <c:numRef>
              <c:f>Pivots!$P$5:$P$11</c:f>
              <c:numCache>
                <c:formatCode>"₹"\ #.0,"K"</c:formatCode>
                <c:ptCount val="7"/>
                <c:pt idx="0">
                  <c:v>13162</c:v>
                </c:pt>
                <c:pt idx="1">
                  <c:v>14586</c:v>
                </c:pt>
                <c:pt idx="2">
                  <c:v>12499</c:v>
                </c:pt>
                <c:pt idx="3">
                  <c:v>11736</c:v>
                </c:pt>
                <c:pt idx="4">
                  <c:v>9359</c:v>
                </c:pt>
                <c:pt idx="5">
                  <c:v>11766</c:v>
                </c:pt>
                <c:pt idx="6">
                  <c:v>11499</c:v>
                </c:pt>
              </c:numCache>
            </c:numRef>
          </c:val>
          <c:extLst>
            <c:ext xmlns:c16="http://schemas.microsoft.com/office/drawing/2014/chart" uri="{C3380CC4-5D6E-409C-BE32-E72D297353CC}">
              <c16:uniqueId val="{00000000-DEC8-43AB-97FE-17C6E9691B5C}"/>
            </c:ext>
          </c:extLst>
        </c:ser>
        <c:ser>
          <c:idx val="1"/>
          <c:order val="1"/>
          <c:tx>
            <c:strRef>
              <c:f>Pivots!$R$4</c:f>
              <c:strCache>
                <c:ptCount val="1"/>
                <c:pt idx="0">
                  <c:v>Chart Amt.</c:v>
                </c:pt>
              </c:strCache>
            </c:strRef>
          </c:tx>
          <c:spPr>
            <a:gradFill>
              <a:gsLst>
                <a:gs pos="0">
                  <a:schemeClr val="accent4">
                    <a:lumMod val="50000"/>
                  </a:schemeClr>
                </a:gs>
                <a:gs pos="47000">
                  <a:schemeClr val="accent4">
                    <a:lumMod val="75000"/>
                  </a:schemeClr>
                </a:gs>
                <a:gs pos="95000">
                  <a:schemeClr val="accent4">
                    <a:lumMod val="60000"/>
                    <a:lumOff val="40000"/>
                  </a:schemeClr>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Pivots!$R$5:$R$11</c:f>
              <c:numCache>
                <c:formatCode>"₹"\ #.0,"k"</c:formatCode>
                <c:ptCount val="7"/>
                <c:pt idx="0">
                  <c:v>#N/A</c:v>
                </c:pt>
                <c:pt idx="1">
                  <c:v>#N/A</c:v>
                </c:pt>
                <c:pt idx="2">
                  <c:v>#N/A</c:v>
                </c:pt>
                <c:pt idx="3">
                  <c:v>#N/A</c:v>
                </c:pt>
                <c:pt idx="4">
                  <c:v>9359</c:v>
                </c:pt>
                <c:pt idx="5">
                  <c:v>#N/A</c:v>
                </c:pt>
                <c:pt idx="6">
                  <c:v>#N/A</c:v>
                </c:pt>
              </c:numCache>
            </c:numRef>
          </c:val>
          <c:extLst>
            <c:ext xmlns:c16="http://schemas.microsoft.com/office/drawing/2014/chart" uri="{C3380CC4-5D6E-409C-BE32-E72D297353CC}">
              <c16:uniqueId val="{00000001-DEC8-43AB-97FE-17C6E9691B5C}"/>
            </c:ext>
          </c:extLst>
        </c:ser>
        <c:dLbls>
          <c:dLblPos val="outEnd"/>
          <c:showLegendKey val="0"/>
          <c:showVal val="1"/>
          <c:showCatName val="0"/>
          <c:showSerName val="0"/>
          <c:showPercent val="0"/>
          <c:showBubbleSize val="0"/>
        </c:dLbls>
        <c:gapWidth val="23"/>
        <c:overlap val="100"/>
        <c:axId val="1819784911"/>
        <c:axId val="1819768591"/>
      </c:barChart>
      <c:catAx>
        <c:axId val="1819784911"/>
        <c:scaling>
          <c:orientation val="maxMin"/>
        </c:scaling>
        <c:delete val="1"/>
        <c:axPos val="l"/>
        <c:numFmt formatCode="General" sourceLinked="1"/>
        <c:majorTickMark val="out"/>
        <c:minorTickMark val="none"/>
        <c:tickLblPos val="nextTo"/>
        <c:crossAx val="1819768591"/>
        <c:crosses val="autoZero"/>
        <c:auto val="1"/>
        <c:lblAlgn val="ctr"/>
        <c:lblOffset val="100"/>
        <c:noMultiLvlLbl val="0"/>
      </c:catAx>
      <c:valAx>
        <c:axId val="1819768591"/>
        <c:scaling>
          <c:orientation val="minMax"/>
        </c:scaling>
        <c:delete val="1"/>
        <c:axPos val="t"/>
        <c:numFmt formatCode="&quot;₹&quot;\ #.0,&quot;K&quot;" sourceLinked="1"/>
        <c:majorTickMark val="out"/>
        <c:minorTickMark val="none"/>
        <c:tickLblPos val="nextTo"/>
        <c:crossAx val="181978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t>Calls</a:t>
            </a:r>
          </a:p>
        </c:rich>
      </c:tx>
      <c:layout>
        <c:manualLayout>
          <c:xMode val="edge"/>
          <c:yMode val="edge"/>
          <c:x val="4.0444802752768799E-4"/>
          <c:y val="2.502361807851757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Pivots!$N$5:$N$11</c:f>
              <c:strCache>
                <c:ptCount val="7"/>
                <c:pt idx="0">
                  <c:v>R001</c:v>
                </c:pt>
                <c:pt idx="1">
                  <c:v>R002</c:v>
                </c:pt>
                <c:pt idx="2">
                  <c:v>R003</c:v>
                </c:pt>
                <c:pt idx="3">
                  <c:v>R004</c:v>
                </c:pt>
                <c:pt idx="4">
                  <c:v>R005</c:v>
                </c:pt>
                <c:pt idx="5">
                  <c:v>R006</c:v>
                </c:pt>
                <c:pt idx="6">
                  <c:v>R007</c:v>
                </c:pt>
              </c:strCache>
            </c:strRef>
          </c:cat>
          <c:val>
            <c:numRef>
              <c:f>Pivots!$O$5:$O$11</c:f>
              <c:numCache>
                <c:formatCode>#,##0</c:formatCode>
                <c:ptCount val="7"/>
                <c:pt idx="0">
                  <c:v>148</c:v>
                </c:pt>
                <c:pt idx="1">
                  <c:v>171</c:v>
                </c:pt>
                <c:pt idx="2">
                  <c:v>147</c:v>
                </c:pt>
                <c:pt idx="3">
                  <c:v>140</c:v>
                </c:pt>
                <c:pt idx="4">
                  <c:v>118</c:v>
                </c:pt>
                <c:pt idx="5">
                  <c:v>141</c:v>
                </c:pt>
                <c:pt idx="6">
                  <c:v>135</c:v>
                </c:pt>
              </c:numCache>
            </c:numRef>
          </c:val>
          <c:extLst>
            <c:ext xmlns:c16="http://schemas.microsoft.com/office/drawing/2014/chart" uri="{C3380CC4-5D6E-409C-BE32-E72D297353CC}">
              <c16:uniqueId val="{00000000-CB92-4943-8F0D-E4C96FDD2413}"/>
            </c:ext>
          </c:extLst>
        </c:ser>
        <c:ser>
          <c:idx val="1"/>
          <c:order val="1"/>
          <c:tx>
            <c:strRef>
              <c:f>Pivots!$Q$4</c:f>
              <c:strCache>
                <c:ptCount val="1"/>
                <c:pt idx="0">
                  <c:v>Chart count</c:v>
                </c:pt>
              </c:strCache>
            </c:strRef>
          </c:tx>
          <c:spPr>
            <a:gradFill>
              <a:gsLst>
                <a:gs pos="0">
                  <a:schemeClr val="accent4">
                    <a:lumMod val="50000"/>
                  </a:schemeClr>
                </a:gs>
                <a:gs pos="47000">
                  <a:schemeClr val="accent4">
                    <a:lumMod val="75000"/>
                  </a:schemeClr>
                </a:gs>
                <a:gs pos="100000">
                  <a:schemeClr val="accent4">
                    <a:lumMod val="60000"/>
                    <a:lumOff val="40000"/>
                  </a:schemeClr>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Pivots!$Q$5:$Q$11</c:f>
              <c:numCache>
                <c:formatCode>General</c:formatCode>
                <c:ptCount val="7"/>
                <c:pt idx="0">
                  <c:v>#N/A</c:v>
                </c:pt>
                <c:pt idx="1">
                  <c:v>#N/A</c:v>
                </c:pt>
                <c:pt idx="2">
                  <c:v>#N/A</c:v>
                </c:pt>
                <c:pt idx="3">
                  <c:v>#N/A</c:v>
                </c:pt>
                <c:pt idx="4">
                  <c:v>118</c:v>
                </c:pt>
                <c:pt idx="5">
                  <c:v>#N/A</c:v>
                </c:pt>
                <c:pt idx="6">
                  <c:v>#N/A</c:v>
                </c:pt>
              </c:numCache>
            </c:numRef>
          </c:val>
          <c:extLst>
            <c:ext xmlns:c16="http://schemas.microsoft.com/office/drawing/2014/chart" uri="{C3380CC4-5D6E-409C-BE32-E72D297353CC}">
              <c16:uniqueId val="{00000001-CB92-4943-8F0D-E4C96FDD2413}"/>
            </c:ext>
          </c:extLst>
        </c:ser>
        <c:dLbls>
          <c:dLblPos val="outEnd"/>
          <c:showLegendKey val="0"/>
          <c:showVal val="1"/>
          <c:showCatName val="0"/>
          <c:showSerName val="0"/>
          <c:showPercent val="0"/>
          <c:showBubbleSize val="0"/>
        </c:dLbls>
        <c:gapWidth val="23"/>
        <c:overlap val="100"/>
        <c:axId val="1962443391"/>
        <c:axId val="2114833183"/>
      </c:barChart>
      <c:catAx>
        <c:axId val="196244339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833183"/>
        <c:crosses val="autoZero"/>
        <c:auto val="1"/>
        <c:lblAlgn val="ctr"/>
        <c:lblOffset val="100"/>
        <c:noMultiLvlLbl val="0"/>
      </c:catAx>
      <c:valAx>
        <c:axId val="2114833183"/>
        <c:scaling>
          <c:orientation val="minMax"/>
        </c:scaling>
        <c:delete val="1"/>
        <c:axPos val="t"/>
        <c:numFmt formatCode="#,##0" sourceLinked="1"/>
        <c:majorTickMark val="none"/>
        <c:minorTickMark val="none"/>
        <c:tickLblPos val="nextTo"/>
        <c:crossAx val="196244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[Dashboard.xlsx]Pivots!Female vs Male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4">
                    <a:lumMod val="60000"/>
                    <a:lumOff val="40000"/>
                  </a:schemeClr>
                </a:solidFill>
              </a:rPr>
              <a:t>Female</a:t>
            </a:r>
            <a:r>
              <a:rPr lang="en-IN" sz="1800" b="1" baseline="0"/>
              <a:t> vs </a:t>
            </a:r>
            <a:r>
              <a:rPr lang="en-IN" sz="1800" b="1" baseline="0">
                <a:solidFill>
                  <a:schemeClr val="accent3">
                    <a:lumMod val="60000"/>
                    <a:lumOff val="40000"/>
                  </a:schemeClr>
                </a:solidFill>
              </a:rPr>
              <a:t>Male</a:t>
            </a:r>
            <a:r>
              <a:rPr lang="en-IN" sz="1800" b="1" baseline="0"/>
              <a:t> callers</a:t>
            </a:r>
            <a:endParaRPr lang="en-IN" sz="1800" b="1"/>
          </a:p>
        </c:rich>
      </c:tx>
      <c:layout>
        <c:manualLayout>
          <c:xMode val="edge"/>
          <c:yMode val="edge"/>
          <c:x val="3.9584129155950623E-2"/>
          <c:y val="2.9142454590166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pivotFmt>
      <c:pivotFmt>
        <c:idx val="3"/>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3">
              <a:lumMod val="60000"/>
              <a:lumOff val="40000"/>
            </a:schemeClr>
          </a:solidFill>
          <a:ln>
            <a:noFill/>
          </a:ln>
          <a:effectLst/>
        </c:spPr>
        <c:marker>
          <c:symbol val="none"/>
        </c:marker>
        <c:dLbl>
          <c:idx val="0"/>
          <c:spPr>
            <a:solidFill>
              <a:schemeClr val="bg1">
                <a:alpha val="76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Pivots!$K$15:$K$16</c:f>
              <c:strCache>
                <c:ptCount val="1"/>
                <c:pt idx="0">
                  <c:v>Female</c:v>
                </c:pt>
              </c:strCache>
            </c:strRef>
          </c:tx>
          <c:spPr>
            <a:solidFill>
              <a:schemeClr val="accent4">
                <a:lumMod val="60000"/>
                <a:lumOff val="40000"/>
              </a:schemeClr>
            </a:solidFill>
            <a:ln>
              <a:noFill/>
            </a:ln>
            <a:effectLst/>
          </c:spPr>
          <c:invertIfNegative val="0"/>
          <c:dLbls>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Pivots!$J$17:$J$21</c:f>
              <c:strCache>
                <c:ptCount val="4"/>
                <c:pt idx="0">
                  <c:v>Chennai</c:v>
                </c:pt>
                <c:pt idx="1">
                  <c:v>Madurai</c:v>
                </c:pt>
                <c:pt idx="2">
                  <c:v>Salem</c:v>
                </c:pt>
                <c:pt idx="3">
                  <c:v>Trichy</c:v>
                </c:pt>
              </c:strCache>
            </c:strRef>
          </c:cat>
          <c:val>
            <c:numRef>
              <c:f>Pivots!$K$17:$K$21</c:f>
              <c:numCache>
                <c:formatCode>#,##0</c:formatCode>
                <c:ptCount val="4"/>
                <c:pt idx="0">
                  <c:v>182</c:v>
                </c:pt>
                <c:pt idx="1">
                  <c:v>124</c:v>
                </c:pt>
                <c:pt idx="3">
                  <c:v>210</c:v>
                </c:pt>
              </c:numCache>
            </c:numRef>
          </c:val>
          <c:extLst>
            <c:ext xmlns:c16="http://schemas.microsoft.com/office/drawing/2014/chart" uri="{C3380CC4-5D6E-409C-BE32-E72D297353CC}">
              <c16:uniqueId val="{00000000-A96A-4D67-9431-69B8F3D472BD}"/>
            </c:ext>
          </c:extLst>
        </c:ser>
        <c:ser>
          <c:idx val="1"/>
          <c:order val="1"/>
          <c:tx>
            <c:strRef>
              <c:f>Pivots!$L$15:$L$16</c:f>
              <c:strCache>
                <c:ptCount val="1"/>
                <c:pt idx="0">
                  <c:v>Male</c:v>
                </c:pt>
              </c:strCache>
            </c:strRef>
          </c:tx>
          <c:spPr>
            <a:solidFill>
              <a:schemeClr val="accent3">
                <a:lumMod val="60000"/>
                <a:lumOff val="40000"/>
              </a:schemeClr>
            </a:solidFill>
            <a:ln>
              <a:noFill/>
            </a:ln>
            <a:effectLst/>
          </c:spPr>
          <c:invertIfNegative val="0"/>
          <c:dLbls>
            <c:spPr>
              <a:solidFill>
                <a:schemeClr val="bg1">
                  <a:alpha val="76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Pivots!$J$17:$J$21</c:f>
              <c:strCache>
                <c:ptCount val="4"/>
                <c:pt idx="0">
                  <c:v>Chennai</c:v>
                </c:pt>
                <c:pt idx="1">
                  <c:v>Madurai</c:v>
                </c:pt>
                <c:pt idx="2">
                  <c:v>Salem</c:v>
                </c:pt>
                <c:pt idx="3">
                  <c:v>Trichy</c:v>
                </c:pt>
              </c:strCache>
            </c:strRef>
          </c:cat>
          <c:val>
            <c:numRef>
              <c:f>Pivots!$L$17:$L$21</c:f>
              <c:numCache>
                <c:formatCode>#,##0</c:formatCode>
                <c:ptCount val="4"/>
                <c:pt idx="0">
                  <c:v>96</c:v>
                </c:pt>
                <c:pt idx="1">
                  <c:v>48</c:v>
                </c:pt>
                <c:pt idx="2">
                  <c:v>280</c:v>
                </c:pt>
                <c:pt idx="3">
                  <c:v>60</c:v>
                </c:pt>
              </c:numCache>
            </c:numRef>
          </c:val>
          <c:extLst>
            <c:ext xmlns:c16="http://schemas.microsoft.com/office/drawing/2014/chart" uri="{C3380CC4-5D6E-409C-BE32-E72D297353CC}">
              <c16:uniqueId val="{00000001-A96A-4D67-9431-69B8F3D472BD}"/>
            </c:ext>
          </c:extLst>
        </c:ser>
        <c:dLbls>
          <c:dLblPos val="ctr"/>
          <c:showLegendKey val="0"/>
          <c:showVal val="1"/>
          <c:showCatName val="0"/>
          <c:showSerName val="0"/>
          <c:showPercent val="0"/>
          <c:showBubbleSize val="0"/>
        </c:dLbls>
        <c:gapWidth val="19"/>
        <c:overlap val="100"/>
        <c:axId val="738478943"/>
        <c:axId val="738480863"/>
      </c:barChart>
      <c:catAx>
        <c:axId val="738478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80863"/>
        <c:crosses val="autoZero"/>
        <c:auto val="1"/>
        <c:lblAlgn val="ctr"/>
        <c:lblOffset val="100"/>
        <c:noMultiLvlLbl val="0"/>
      </c:catAx>
      <c:valAx>
        <c:axId val="7384808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73847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[Dashboard.xlsx]Pivots!Rep Satisfaction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4">
                    <a:lumMod val="75000"/>
                  </a:schemeClr>
                </a:solidFill>
              </a:rPr>
              <a:t>Rating</a:t>
            </a:r>
          </a:p>
        </c:rich>
      </c:tx>
      <c:layout>
        <c:manualLayout>
          <c:xMode val="edge"/>
          <c:yMode val="edge"/>
          <c:x val="1.7964301593448358E-2"/>
          <c:y val="3.7807183364839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Pivots!$P$15</c:f>
              <c:strCache>
                <c:ptCount val="1"/>
                <c:pt idx="0">
                  <c:v>Total</c:v>
                </c:pt>
              </c:strCache>
            </c:strRef>
          </c:tx>
          <c:spPr>
            <a:solidFill>
              <a:schemeClr val="accent4">
                <a:lumMod val="75000"/>
              </a:schemeClr>
            </a:solidFill>
            <a:ln>
              <a:noFill/>
            </a:ln>
            <a:effectLst/>
          </c:spPr>
          <c:invertIfNegative val="0"/>
          <c:cat>
            <c:strRef>
              <c:f>Pivots!$O$16:$O$21</c:f>
              <c:strCache>
                <c:ptCount val="5"/>
                <c:pt idx="0">
                  <c:v>1</c:v>
                </c:pt>
                <c:pt idx="1">
                  <c:v>2</c:v>
                </c:pt>
                <c:pt idx="2">
                  <c:v>3</c:v>
                </c:pt>
                <c:pt idx="3">
                  <c:v>4</c:v>
                </c:pt>
                <c:pt idx="4">
                  <c:v>5</c:v>
                </c:pt>
              </c:strCache>
            </c:strRef>
          </c:cat>
          <c:val>
            <c:numRef>
              <c:f>Pivots!$P$16:$P$21</c:f>
              <c:numCache>
                <c:formatCode>#,##0</c:formatCode>
                <c:ptCount val="5"/>
                <c:pt idx="0">
                  <c:v>12</c:v>
                </c:pt>
                <c:pt idx="1">
                  <c:v>30</c:v>
                </c:pt>
                <c:pt idx="2">
                  <c:v>29</c:v>
                </c:pt>
                <c:pt idx="3">
                  <c:v>33</c:v>
                </c:pt>
                <c:pt idx="4">
                  <c:v>14</c:v>
                </c:pt>
              </c:numCache>
            </c:numRef>
          </c:val>
          <c:extLst>
            <c:ext xmlns:c16="http://schemas.microsoft.com/office/drawing/2014/chart" uri="{C3380CC4-5D6E-409C-BE32-E72D297353CC}">
              <c16:uniqueId val="{00000000-90F2-4FDD-A122-1670C56EC825}"/>
            </c:ext>
          </c:extLst>
        </c:ser>
        <c:dLbls>
          <c:showLegendKey val="0"/>
          <c:showVal val="0"/>
          <c:showCatName val="0"/>
          <c:showSerName val="0"/>
          <c:showPercent val="0"/>
          <c:showBubbleSize val="0"/>
        </c:dLbls>
        <c:gapWidth val="25"/>
        <c:overlap val="-27"/>
        <c:axId val="1372675712"/>
        <c:axId val="1372659872"/>
      </c:barChart>
      <c:catAx>
        <c:axId val="1372675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59872"/>
        <c:crosses val="autoZero"/>
        <c:auto val="1"/>
        <c:lblAlgn val="ctr"/>
        <c:lblOffset val="100"/>
        <c:noMultiLvlLbl val="0"/>
      </c:catAx>
      <c:valAx>
        <c:axId val="1372659872"/>
        <c:scaling>
          <c:orientation val="minMax"/>
        </c:scaling>
        <c:delete val="0"/>
        <c:axPos val="l"/>
        <c:majorGridlines>
          <c:spPr>
            <a:ln w="9525" cap="flat" cmpd="sng" algn="ctr">
              <a:solidFill>
                <a:schemeClr val="accent4">
                  <a:lumMod val="75000"/>
                  <a:alpha val="17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7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xdr:colOff>
      <xdr:row>4</xdr:row>
      <xdr:rowOff>0</xdr:rowOff>
    </xdr:from>
    <xdr:to>
      <xdr:col>4</xdr:col>
      <xdr:colOff>335280</xdr:colOff>
      <xdr:row>9</xdr:row>
      <xdr:rowOff>7620</xdr:rowOff>
    </xdr:to>
    <xdr:sp macro="" textlink="Pivots!A4">
      <xdr:nvSpPr>
        <xdr:cNvPr id="2" name="Rectangle 1">
          <a:extLst>
            <a:ext uri="{FF2B5EF4-FFF2-40B4-BE49-F238E27FC236}">
              <a16:creationId xmlns:a16="http://schemas.microsoft.com/office/drawing/2014/main" id="{97E596AA-B6D7-30E4-0C0E-51F6DC41A2C4}"/>
            </a:ext>
          </a:extLst>
        </xdr:cNvPr>
        <xdr:cNvSpPr/>
      </xdr:nvSpPr>
      <xdr:spPr>
        <a:xfrm>
          <a:off x="297180" y="731520"/>
          <a:ext cx="1546860" cy="922020"/>
        </a:xfrm>
        <a:prstGeom prst="rect">
          <a:avLst/>
        </a:prstGeom>
        <a:solidFill>
          <a:schemeClr val="accent4">
            <a:lumMod val="40000"/>
            <a:lumOff val="60000"/>
          </a:schemeClr>
        </a:solidFill>
        <a:ln>
          <a:noFill/>
        </a:ln>
        <a:effectLst>
          <a:outerShdw blurRad="177800" dist="76200" dir="2700000" sx="102000" sy="102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555241-E83B-4CD5-885B-EADBC71C7270}" type="TxLink">
            <a:rPr lang="en-US" sz="2400" b="1" i="0" u="none" strike="noStrike">
              <a:solidFill>
                <a:schemeClr val="accent4">
                  <a:lumMod val="75000"/>
                </a:schemeClr>
              </a:solidFill>
              <a:latin typeface="Calibri"/>
              <a:ea typeface="Calibri"/>
              <a:cs typeface="Calibri"/>
            </a:rPr>
            <a:pPr algn="ctr"/>
            <a:t>1,000</a:t>
          </a:fld>
          <a:endParaRPr lang="en-US" sz="2400" b="1">
            <a:solidFill>
              <a:schemeClr val="accent4">
                <a:lumMod val="75000"/>
              </a:schemeClr>
            </a:solidFill>
          </a:endParaRPr>
        </a:p>
      </xdr:txBody>
    </xdr:sp>
    <xdr:clientData/>
  </xdr:twoCellAnchor>
  <xdr:twoCellAnchor>
    <xdr:from>
      <xdr:col>2</xdr:col>
      <xdr:colOff>114300</xdr:colOff>
      <xdr:row>4</xdr:row>
      <xdr:rowOff>22860</xdr:rowOff>
    </xdr:from>
    <xdr:to>
      <xdr:col>4</xdr:col>
      <xdr:colOff>213360</xdr:colOff>
      <xdr:row>5</xdr:row>
      <xdr:rowOff>99060</xdr:rowOff>
    </xdr:to>
    <xdr:sp macro="" textlink="">
      <xdr:nvSpPr>
        <xdr:cNvPr id="3" name="TextBox 2">
          <a:extLst>
            <a:ext uri="{FF2B5EF4-FFF2-40B4-BE49-F238E27FC236}">
              <a16:creationId xmlns:a16="http://schemas.microsoft.com/office/drawing/2014/main" id="{18A5FD98-9490-C6C7-D6B2-EA68E88F8CB1}"/>
            </a:ext>
          </a:extLst>
        </xdr:cNvPr>
        <xdr:cNvSpPr txBox="1"/>
      </xdr:nvSpPr>
      <xdr:spPr>
        <a:xfrm>
          <a:off x="403860" y="754380"/>
          <a:ext cx="1318260" cy="25908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Calls</a:t>
          </a:r>
        </a:p>
      </xdr:txBody>
    </xdr:sp>
    <xdr:clientData/>
  </xdr:twoCellAnchor>
  <xdr:twoCellAnchor>
    <xdr:from>
      <xdr:col>2</xdr:col>
      <xdr:colOff>419100</xdr:colOff>
      <xdr:row>7</xdr:row>
      <xdr:rowOff>91440</xdr:rowOff>
    </xdr:from>
    <xdr:to>
      <xdr:col>3</xdr:col>
      <xdr:colOff>525780</xdr:colOff>
      <xdr:row>8</xdr:row>
      <xdr:rowOff>152400</xdr:rowOff>
    </xdr:to>
    <xdr:sp macro="" textlink="Pivots!A11">
      <xdr:nvSpPr>
        <xdr:cNvPr id="6" name="Rectangle 5">
          <a:extLst>
            <a:ext uri="{FF2B5EF4-FFF2-40B4-BE49-F238E27FC236}">
              <a16:creationId xmlns:a16="http://schemas.microsoft.com/office/drawing/2014/main" id="{86410362-B33D-BCC7-702B-355FC64CA737}"/>
            </a:ext>
          </a:extLst>
        </xdr:cNvPr>
        <xdr:cNvSpPr/>
      </xdr:nvSpPr>
      <xdr:spPr>
        <a:xfrm>
          <a:off x="708660" y="1371600"/>
          <a:ext cx="716280" cy="243840"/>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99BCDE-AFC2-4E48-BBDA-8B9F5D86A658}" type="TxLink">
            <a:rPr lang="en-US" sz="1200" b="1" i="0" u="none" strike="noStrike">
              <a:solidFill>
                <a:schemeClr val="bg2"/>
              </a:solidFill>
              <a:latin typeface="Calibri"/>
              <a:ea typeface="Calibri"/>
              <a:cs typeface="Calibri"/>
            </a:rPr>
            <a:pPr algn="ctr"/>
            <a:t>118</a:t>
          </a:fld>
          <a:endParaRPr lang="en-IN" sz="1200" b="1">
            <a:solidFill>
              <a:schemeClr val="bg2"/>
            </a:solidFill>
          </a:endParaRPr>
        </a:p>
      </xdr:txBody>
    </xdr:sp>
    <xdr:clientData/>
  </xdr:twoCellAnchor>
  <xdr:twoCellAnchor>
    <xdr:from>
      <xdr:col>2</xdr:col>
      <xdr:colOff>7620</xdr:colOff>
      <xdr:row>13</xdr:row>
      <xdr:rowOff>0</xdr:rowOff>
    </xdr:from>
    <xdr:to>
      <xdr:col>4</xdr:col>
      <xdr:colOff>335280</xdr:colOff>
      <xdr:row>18</xdr:row>
      <xdr:rowOff>7620</xdr:rowOff>
    </xdr:to>
    <xdr:sp macro="" textlink="Pivots!E4">
      <xdr:nvSpPr>
        <xdr:cNvPr id="7" name="Rectangle 6">
          <a:extLst>
            <a:ext uri="{FF2B5EF4-FFF2-40B4-BE49-F238E27FC236}">
              <a16:creationId xmlns:a16="http://schemas.microsoft.com/office/drawing/2014/main" id="{ADFCB503-A40A-411C-980C-B4523A8E478D}"/>
            </a:ext>
          </a:extLst>
        </xdr:cNvPr>
        <xdr:cNvSpPr/>
      </xdr:nvSpPr>
      <xdr:spPr>
        <a:xfrm>
          <a:off x="295693" y="2416098"/>
          <a:ext cx="1554294" cy="936888"/>
        </a:xfrm>
        <a:prstGeom prst="rect">
          <a:avLst/>
        </a:prstGeom>
        <a:solidFill>
          <a:schemeClr val="accent4">
            <a:lumMod val="40000"/>
            <a:lumOff val="60000"/>
          </a:schemeClr>
        </a:solidFill>
        <a:ln>
          <a:noFill/>
        </a:ln>
        <a:effectLst>
          <a:outerShdw blurRad="177800" dist="76200" dir="2700000" sx="102000" sy="102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F87260-C26C-4E91-B8AB-E631A85867F4}" type="TxLink">
            <a:rPr lang="en-US" sz="2400" b="1" i="0" u="none" strike="noStrike">
              <a:solidFill>
                <a:schemeClr val="accent4">
                  <a:lumMod val="75000"/>
                </a:schemeClr>
              </a:solidFill>
              <a:latin typeface="Calibri"/>
              <a:ea typeface="Calibri"/>
              <a:cs typeface="Calibri"/>
            </a:rPr>
            <a:pPr algn="ctr"/>
            <a:t>₹ 84,607</a:t>
          </a:fld>
          <a:endParaRPr lang="en-US" sz="2400" b="1">
            <a:solidFill>
              <a:schemeClr val="accent4">
                <a:lumMod val="75000"/>
              </a:schemeClr>
            </a:solidFill>
          </a:endParaRPr>
        </a:p>
      </xdr:txBody>
    </xdr:sp>
    <xdr:clientData/>
  </xdr:twoCellAnchor>
  <xdr:twoCellAnchor>
    <xdr:from>
      <xdr:col>2</xdr:col>
      <xdr:colOff>121920</xdr:colOff>
      <xdr:row>13</xdr:row>
      <xdr:rowOff>7620</xdr:rowOff>
    </xdr:from>
    <xdr:to>
      <xdr:col>4</xdr:col>
      <xdr:colOff>220980</xdr:colOff>
      <xdr:row>14</xdr:row>
      <xdr:rowOff>86794</xdr:rowOff>
    </xdr:to>
    <xdr:sp macro="" textlink="">
      <xdr:nvSpPr>
        <xdr:cNvPr id="8" name="TextBox 7">
          <a:extLst>
            <a:ext uri="{FF2B5EF4-FFF2-40B4-BE49-F238E27FC236}">
              <a16:creationId xmlns:a16="http://schemas.microsoft.com/office/drawing/2014/main" id="{13A5DEE0-1C21-4C11-8ABE-50017534D8F4}"/>
            </a:ext>
          </a:extLst>
        </xdr:cNvPr>
        <xdr:cNvSpPr txBox="1"/>
      </xdr:nvSpPr>
      <xdr:spPr>
        <a:xfrm>
          <a:off x="409993" y="2423718"/>
          <a:ext cx="1325694" cy="265027"/>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Amount</a:t>
          </a:r>
        </a:p>
      </xdr:txBody>
    </xdr:sp>
    <xdr:clientData/>
  </xdr:twoCellAnchor>
  <xdr:twoCellAnchor>
    <xdr:from>
      <xdr:col>2</xdr:col>
      <xdr:colOff>396240</xdr:colOff>
      <xdr:row>16</xdr:row>
      <xdr:rowOff>124893</xdr:rowOff>
    </xdr:from>
    <xdr:to>
      <xdr:col>3</xdr:col>
      <xdr:colOff>525780</xdr:colOff>
      <xdr:row>17</xdr:row>
      <xdr:rowOff>162994</xdr:rowOff>
    </xdr:to>
    <xdr:sp macro="" textlink="Pivots!E11">
      <xdr:nvSpPr>
        <xdr:cNvPr id="9" name="Rectangle 8">
          <a:extLst>
            <a:ext uri="{FF2B5EF4-FFF2-40B4-BE49-F238E27FC236}">
              <a16:creationId xmlns:a16="http://schemas.microsoft.com/office/drawing/2014/main" id="{B9299873-02C5-42B9-8687-6E052B778704}"/>
            </a:ext>
          </a:extLst>
        </xdr:cNvPr>
        <xdr:cNvSpPr/>
      </xdr:nvSpPr>
      <xdr:spPr>
        <a:xfrm>
          <a:off x="684313" y="3098552"/>
          <a:ext cx="742857" cy="223954"/>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C80D8F-5CB8-46C9-94BE-67CF751D23D7}" type="TxLink">
            <a:rPr lang="en-US" sz="1200" b="1" i="0" u="none" strike="noStrike">
              <a:solidFill>
                <a:schemeClr val="bg2"/>
              </a:solidFill>
              <a:latin typeface="Calibri"/>
              <a:ea typeface="Calibri"/>
              <a:cs typeface="Calibri"/>
            </a:rPr>
            <a:pPr algn="ctr"/>
            <a:t>₹ 9,359</a:t>
          </a:fld>
          <a:endParaRPr lang="en-IN" sz="1200" b="1">
            <a:solidFill>
              <a:schemeClr val="bg2"/>
            </a:solidFill>
          </a:endParaRPr>
        </a:p>
      </xdr:txBody>
    </xdr:sp>
    <xdr:clientData/>
  </xdr:twoCellAnchor>
  <xdr:twoCellAnchor>
    <xdr:from>
      <xdr:col>2</xdr:col>
      <xdr:colOff>7620</xdr:colOff>
      <xdr:row>21</xdr:row>
      <xdr:rowOff>178234</xdr:rowOff>
    </xdr:from>
    <xdr:to>
      <xdr:col>4</xdr:col>
      <xdr:colOff>335280</xdr:colOff>
      <xdr:row>27</xdr:row>
      <xdr:rowOff>0</xdr:rowOff>
    </xdr:to>
    <xdr:sp macro="" textlink="Pivots!D4">
      <xdr:nvSpPr>
        <xdr:cNvPr id="10" name="Rectangle 9">
          <a:extLst>
            <a:ext uri="{FF2B5EF4-FFF2-40B4-BE49-F238E27FC236}">
              <a16:creationId xmlns:a16="http://schemas.microsoft.com/office/drawing/2014/main" id="{385A11A7-F471-4371-975B-320B08CF2AEE}"/>
            </a:ext>
          </a:extLst>
        </xdr:cNvPr>
        <xdr:cNvSpPr/>
      </xdr:nvSpPr>
      <xdr:spPr>
        <a:xfrm>
          <a:off x="295693" y="4081161"/>
          <a:ext cx="1554294" cy="936888"/>
        </a:xfrm>
        <a:prstGeom prst="rect">
          <a:avLst/>
        </a:prstGeom>
        <a:solidFill>
          <a:schemeClr val="accent4">
            <a:lumMod val="40000"/>
            <a:lumOff val="60000"/>
          </a:schemeClr>
        </a:solidFill>
        <a:ln>
          <a:noFill/>
        </a:ln>
        <a:effectLst>
          <a:outerShdw blurRad="177800" dist="76200" dir="2700000" sx="102000" sy="102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2AE55E-FF82-4A05-B837-45FE5B07AFEC}" type="TxLink">
            <a:rPr lang="en-US" sz="2400" b="1" i="0" u="none" strike="noStrike">
              <a:solidFill>
                <a:schemeClr val="accent4">
                  <a:lumMod val="75000"/>
                </a:schemeClr>
              </a:solidFill>
              <a:latin typeface="Calibri"/>
              <a:ea typeface="Calibri"/>
              <a:cs typeface="Calibri"/>
            </a:rPr>
            <a:pPr algn="ctr"/>
            <a:t>87,436</a:t>
          </a:fld>
          <a:endParaRPr lang="en-US" sz="2400" b="1">
            <a:solidFill>
              <a:schemeClr val="accent4">
                <a:lumMod val="75000"/>
              </a:schemeClr>
            </a:solidFill>
          </a:endParaRPr>
        </a:p>
      </xdr:txBody>
    </xdr:sp>
    <xdr:clientData/>
  </xdr:twoCellAnchor>
  <xdr:twoCellAnchor>
    <xdr:from>
      <xdr:col>2</xdr:col>
      <xdr:colOff>114300</xdr:colOff>
      <xdr:row>22</xdr:row>
      <xdr:rowOff>15241</xdr:rowOff>
    </xdr:from>
    <xdr:to>
      <xdr:col>4</xdr:col>
      <xdr:colOff>213360</xdr:colOff>
      <xdr:row>23</xdr:row>
      <xdr:rowOff>94415</xdr:rowOff>
    </xdr:to>
    <xdr:sp macro="" textlink="">
      <xdr:nvSpPr>
        <xdr:cNvPr id="11" name="TextBox 10">
          <a:extLst>
            <a:ext uri="{FF2B5EF4-FFF2-40B4-BE49-F238E27FC236}">
              <a16:creationId xmlns:a16="http://schemas.microsoft.com/office/drawing/2014/main" id="{86A7E2D8-58C5-44A8-9603-AB4FBF6988B6}"/>
            </a:ext>
          </a:extLst>
        </xdr:cNvPr>
        <xdr:cNvSpPr txBox="1"/>
      </xdr:nvSpPr>
      <xdr:spPr>
        <a:xfrm>
          <a:off x="402373" y="4104021"/>
          <a:ext cx="1325694" cy="265028"/>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Duration</a:t>
          </a:r>
        </a:p>
      </xdr:txBody>
    </xdr:sp>
    <xdr:clientData/>
  </xdr:twoCellAnchor>
  <xdr:twoCellAnchor>
    <xdr:from>
      <xdr:col>2</xdr:col>
      <xdr:colOff>419100</xdr:colOff>
      <xdr:row>25</xdr:row>
      <xdr:rowOff>83821</xdr:rowOff>
    </xdr:from>
    <xdr:to>
      <xdr:col>3</xdr:col>
      <xdr:colOff>525780</xdr:colOff>
      <xdr:row>26</xdr:row>
      <xdr:rowOff>147754</xdr:rowOff>
    </xdr:to>
    <xdr:sp macro="" textlink="Pivots!D11">
      <xdr:nvSpPr>
        <xdr:cNvPr id="12" name="Rectangle 11">
          <a:extLst>
            <a:ext uri="{FF2B5EF4-FFF2-40B4-BE49-F238E27FC236}">
              <a16:creationId xmlns:a16="http://schemas.microsoft.com/office/drawing/2014/main" id="{69B77B36-7A8E-4E4B-8FC9-FE8B4131375E}"/>
            </a:ext>
          </a:extLst>
        </xdr:cNvPr>
        <xdr:cNvSpPr/>
      </xdr:nvSpPr>
      <xdr:spPr>
        <a:xfrm>
          <a:off x="707173" y="4730162"/>
          <a:ext cx="719997" cy="249787"/>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5748C7-36BE-4081-B5C2-E92C7F6C96FD}" type="TxLink">
            <a:rPr lang="en-US" sz="1200" b="1" i="0" u="none" strike="noStrike">
              <a:solidFill>
                <a:schemeClr val="bg2"/>
              </a:solidFill>
              <a:latin typeface="Calibri"/>
              <a:ea typeface="Calibri"/>
              <a:cs typeface="Calibri"/>
            </a:rPr>
            <a:pPr algn="ctr"/>
            <a:t>11,072</a:t>
          </a:fld>
          <a:endParaRPr lang="en-IN" sz="1200" b="1">
            <a:solidFill>
              <a:schemeClr val="bg2"/>
            </a:solidFill>
          </a:endParaRPr>
        </a:p>
      </xdr:txBody>
    </xdr:sp>
    <xdr:clientData/>
  </xdr:twoCellAnchor>
  <xdr:twoCellAnchor>
    <xdr:from>
      <xdr:col>2</xdr:col>
      <xdr:colOff>15240</xdr:colOff>
      <xdr:row>31</xdr:row>
      <xdr:rowOff>0</xdr:rowOff>
    </xdr:from>
    <xdr:to>
      <xdr:col>4</xdr:col>
      <xdr:colOff>342900</xdr:colOff>
      <xdr:row>35</xdr:row>
      <xdr:rowOff>193473</xdr:rowOff>
    </xdr:to>
    <xdr:sp macro="" textlink="Pivots!C4">
      <xdr:nvSpPr>
        <xdr:cNvPr id="13" name="Rectangle 12">
          <a:extLst>
            <a:ext uri="{FF2B5EF4-FFF2-40B4-BE49-F238E27FC236}">
              <a16:creationId xmlns:a16="http://schemas.microsoft.com/office/drawing/2014/main" id="{6334B490-B817-4F38-8BE7-CF00CE0CB9E6}"/>
            </a:ext>
          </a:extLst>
        </xdr:cNvPr>
        <xdr:cNvSpPr/>
      </xdr:nvSpPr>
      <xdr:spPr>
        <a:xfrm>
          <a:off x="303313" y="5761463"/>
          <a:ext cx="1554294" cy="936888"/>
        </a:xfrm>
        <a:prstGeom prst="rect">
          <a:avLst/>
        </a:prstGeom>
        <a:solidFill>
          <a:schemeClr val="accent4">
            <a:lumMod val="40000"/>
            <a:lumOff val="60000"/>
          </a:schemeClr>
        </a:solidFill>
        <a:ln>
          <a:noFill/>
        </a:ln>
        <a:effectLst>
          <a:outerShdw blurRad="177800" dist="76200" dir="2700000" sx="102000" sy="102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7FF9A3-D567-4A85-825C-466005E41189}" type="TxLink">
            <a:rPr lang="en-US" sz="2400" b="1" i="0" u="none" strike="noStrike">
              <a:solidFill>
                <a:schemeClr val="accent4">
                  <a:lumMod val="75000"/>
                </a:schemeClr>
              </a:solidFill>
              <a:latin typeface="Calibri"/>
              <a:ea typeface="Calibri"/>
              <a:cs typeface="Calibri"/>
            </a:rPr>
            <a:pPr algn="ctr"/>
            <a:t>3.0</a:t>
          </a:fld>
          <a:endParaRPr lang="en-US" sz="2400" b="1">
            <a:solidFill>
              <a:schemeClr val="accent4">
                <a:lumMod val="75000"/>
              </a:schemeClr>
            </a:solidFill>
          </a:endParaRPr>
        </a:p>
      </xdr:txBody>
    </xdr:sp>
    <xdr:clientData/>
  </xdr:twoCellAnchor>
  <xdr:twoCellAnchor>
    <xdr:from>
      <xdr:col>2</xdr:col>
      <xdr:colOff>121920</xdr:colOff>
      <xdr:row>31</xdr:row>
      <xdr:rowOff>22860</xdr:rowOff>
    </xdr:from>
    <xdr:to>
      <xdr:col>4</xdr:col>
      <xdr:colOff>220980</xdr:colOff>
      <xdr:row>32</xdr:row>
      <xdr:rowOff>102033</xdr:rowOff>
    </xdr:to>
    <xdr:sp macro="" textlink="">
      <xdr:nvSpPr>
        <xdr:cNvPr id="14" name="TextBox 13">
          <a:extLst>
            <a:ext uri="{FF2B5EF4-FFF2-40B4-BE49-F238E27FC236}">
              <a16:creationId xmlns:a16="http://schemas.microsoft.com/office/drawing/2014/main" id="{353E330D-0D9D-4E3E-B641-8FBB7612AC5D}"/>
            </a:ext>
          </a:extLst>
        </xdr:cNvPr>
        <xdr:cNvSpPr txBox="1"/>
      </xdr:nvSpPr>
      <xdr:spPr>
        <a:xfrm>
          <a:off x="409993" y="5784323"/>
          <a:ext cx="1325694" cy="265027"/>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Avg. Rating</a:t>
          </a:r>
        </a:p>
      </xdr:txBody>
    </xdr:sp>
    <xdr:clientData/>
  </xdr:twoCellAnchor>
  <xdr:twoCellAnchor>
    <xdr:from>
      <xdr:col>2</xdr:col>
      <xdr:colOff>426720</xdr:colOff>
      <xdr:row>34</xdr:row>
      <xdr:rowOff>94413</xdr:rowOff>
    </xdr:from>
    <xdr:to>
      <xdr:col>3</xdr:col>
      <xdr:colOff>579120</xdr:colOff>
      <xdr:row>35</xdr:row>
      <xdr:rowOff>155373</xdr:rowOff>
    </xdr:to>
    <xdr:sp macro="" textlink="Pivots!C11">
      <xdr:nvSpPr>
        <xdr:cNvPr id="15" name="Rectangle 14">
          <a:extLst>
            <a:ext uri="{FF2B5EF4-FFF2-40B4-BE49-F238E27FC236}">
              <a16:creationId xmlns:a16="http://schemas.microsoft.com/office/drawing/2014/main" id="{77699DAD-1DD1-4570-B9FF-8F491D82EEF7}"/>
            </a:ext>
          </a:extLst>
        </xdr:cNvPr>
        <xdr:cNvSpPr/>
      </xdr:nvSpPr>
      <xdr:spPr>
        <a:xfrm>
          <a:off x="714793" y="6413437"/>
          <a:ext cx="765717" cy="246814"/>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F06C32-09C0-4144-A497-64A50AC3CD12}" type="TxLink">
            <a:rPr lang="en-US" sz="1200" b="1" i="0" u="none" strike="noStrike">
              <a:solidFill>
                <a:schemeClr val="bg2"/>
              </a:solidFill>
              <a:latin typeface="Calibri"/>
              <a:ea typeface="Calibri"/>
              <a:cs typeface="Calibri"/>
            </a:rPr>
            <a:pPr algn="ctr"/>
            <a:t>3.0</a:t>
          </a:fld>
          <a:endParaRPr lang="en-IN" sz="1200" b="1">
            <a:solidFill>
              <a:schemeClr val="bg2"/>
            </a:solidFill>
          </a:endParaRPr>
        </a:p>
      </xdr:txBody>
    </xdr:sp>
    <xdr:clientData/>
  </xdr:twoCellAnchor>
  <xdr:twoCellAnchor>
    <xdr:from>
      <xdr:col>2</xdr:col>
      <xdr:colOff>0</xdr:colOff>
      <xdr:row>39</xdr:row>
      <xdr:rowOff>1673</xdr:rowOff>
    </xdr:from>
    <xdr:to>
      <xdr:col>4</xdr:col>
      <xdr:colOff>327660</xdr:colOff>
      <xdr:row>45</xdr:row>
      <xdr:rowOff>37171</xdr:rowOff>
    </xdr:to>
    <xdr:sp macro="" textlink="Pivots!B4">
      <xdr:nvSpPr>
        <xdr:cNvPr id="16" name="Rectangle 15">
          <a:extLst>
            <a:ext uri="{FF2B5EF4-FFF2-40B4-BE49-F238E27FC236}">
              <a16:creationId xmlns:a16="http://schemas.microsoft.com/office/drawing/2014/main" id="{1745FA81-03FF-46B6-8F88-F9E38BF60A90}"/>
            </a:ext>
          </a:extLst>
        </xdr:cNvPr>
        <xdr:cNvSpPr/>
      </xdr:nvSpPr>
      <xdr:spPr>
        <a:xfrm>
          <a:off x="288073" y="7463697"/>
          <a:ext cx="1554294" cy="1150620"/>
        </a:xfrm>
        <a:prstGeom prst="rect">
          <a:avLst/>
        </a:prstGeom>
        <a:solidFill>
          <a:schemeClr val="accent4">
            <a:lumMod val="40000"/>
            <a:lumOff val="60000"/>
          </a:schemeClr>
        </a:solidFill>
        <a:ln>
          <a:noFill/>
        </a:ln>
        <a:effectLst>
          <a:outerShdw blurRad="177800" dist="76200" dir="2700000" sx="102000" sy="102000" algn="tl" rotWithShape="0">
            <a:schemeClr val="tx1">
              <a:lumMod val="50000"/>
              <a:lumOff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51B874-BD3C-40DE-A998-EED336C416F5}" type="TxLink">
            <a:rPr lang="en-US" sz="2400" b="1" i="0" u="none" strike="noStrike">
              <a:solidFill>
                <a:schemeClr val="accent4">
                  <a:lumMod val="75000"/>
                </a:schemeClr>
              </a:solidFill>
              <a:latin typeface="Calibri"/>
              <a:ea typeface="Calibri"/>
              <a:cs typeface="Calibri"/>
            </a:rPr>
            <a:pPr algn="ctr"/>
            <a:t>143</a:t>
          </a:fld>
          <a:endParaRPr lang="en-US" sz="2400" b="1">
            <a:solidFill>
              <a:schemeClr val="accent4">
                <a:lumMod val="75000"/>
              </a:schemeClr>
            </a:solidFill>
          </a:endParaRPr>
        </a:p>
      </xdr:txBody>
    </xdr:sp>
    <xdr:clientData/>
  </xdr:twoCellAnchor>
  <xdr:twoCellAnchor>
    <xdr:from>
      <xdr:col>2</xdr:col>
      <xdr:colOff>91440</xdr:colOff>
      <xdr:row>39</xdr:row>
      <xdr:rowOff>50367</xdr:rowOff>
    </xdr:from>
    <xdr:to>
      <xdr:col>4</xdr:col>
      <xdr:colOff>190500</xdr:colOff>
      <xdr:row>40</xdr:row>
      <xdr:rowOff>126567</xdr:rowOff>
    </xdr:to>
    <xdr:sp macro="" textlink="">
      <xdr:nvSpPr>
        <xdr:cNvPr id="17" name="TextBox 16">
          <a:extLst>
            <a:ext uri="{FF2B5EF4-FFF2-40B4-BE49-F238E27FC236}">
              <a16:creationId xmlns:a16="http://schemas.microsoft.com/office/drawing/2014/main" id="{1C23003D-1041-48C2-BBED-16F2E67A6517}"/>
            </a:ext>
          </a:extLst>
        </xdr:cNvPr>
        <xdr:cNvSpPr txBox="1"/>
      </xdr:nvSpPr>
      <xdr:spPr>
        <a:xfrm>
          <a:off x="379513" y="7512391"/>
          <a:ext cx="1325694" cy="262054"/>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5*</a:t>
          </a:r>
          <a:r>
            <a:rPr lang="en-IN" sz="1400" b="1" baseline="0">
              <a:solidFill>
                <a:schemeClr val="bg1"/>
              </a:solidFill>
            </a:rPr>
            <a:t> Calls</a:t>
          </a:r>
          <a:endParaRPr lang="en-IN" sz="1400" b="1">
            <a:solidFill>
              <a:schemeClr val="bg1"/>
            </a:solidFill>
          </a:endParaRPr>
        </a:p>
      </xdr:txBody>
    </xdr:sp>
    <xdr:clientData/>
  </xdr:twoCellAnchor>
  <xdr:twoCellAnchor>
    <xdr:from>
      <xdr:col>2</xdr:col>
      <xdr:colOff>396240</xdr:colOff>
      <xdr:row>42</xdr:row>
      <xdr:rowOff>118947</xdr:rowOff>
    </xdr:from>
    <xdr:to>
      <xdr:col>3</xdr:col>
      <xdr:colOff>502920</xdr:colOff>
      <xdr:row>45</xdr:row>
      <xdr:rowOff>21931</xdr:rowOff>
    </xdr:to>
    <xdr:sp macro="" textlink="Pivots!B11">
      <xdr:nvSpPr>
        <xdr:cNvPr id="18" name="Rectangle 17">
          <a:extLst>
            <a:ext uri="{FF2B5EF4-FFF2-40B4-BE49-F238E27FC236}">
              <a16:creationId xmlns:a16="http://schemas.microsoft.com/office/drawing/2014/main" id="{294B08F5-C792-47AC-928A-FDF526902786}"/>
            </a:ext>
          </a:extLst>
        </xdr:cNvPr>
        <xdr:cNvSpPr/>
      </xdr:nvSpPr>
      <xdr:spPr>
        <a:xfrm>
          <a:off x="684313" y="8138532"/>
          <a:ext cx="719997" cy="460545"/>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AA69A-45E7-4BA9-8E85-026AE8ECE7E0}" type="TxLink">
            <a:rPr lang="en-US" sz="1200" b="1" i="0" u="none" strike="noStrike">
              <a:solidFill>
                <a:schemeClr val="bg2"/>
              </a:solidFill>
              <a:latin typeface="Calibri"/>
              <a:ea typeface="Calibri"/>
              <a:cs typeface="Calibri"/>
            </a:rPr>
            <a:pPr algn="ctr"/>
            <a:t>14</a:t>
          </a:fld>
          <a:endParaRPr lang="en-IN" sz="1200" b="1">
            <a:solidFill>
              <a:schemeClr val="bg2"/>
            </a:solidFill>
          </a:endParaRPr>
        </a:p>
      </xdr:txBody>
    </xdr:sp>
    <xdr:clientData/>
  </xdr:twoCellAnchor>
  <xdr:twoCellAnchor editAs="oneCell">
    <xdr:from>
      <xdr:col>12</xdr:col>
      <xdr:colOff>490789</xdr:colOff>
      <xdr:row>22</xdr:row>
      <xdr:rowOff>157975</xdr:rowOff>
    </xdr:from>
    <xdr:to>
      <xdr:col>15</xdr:col>
      <xdr:colOff>92927</xdr:colOff>
      <xdr:row>34</xdr:row>
      <xdr:rowOff>150356</xdr:rowOff>
    </xdr:to>
    <mc:AlternateContent xmlns:mc="http://schemas.openxmlformats.org/markup-compatibility/2006" xmlns:a14="http://schemas.microsoft.com/office/drawing/2010/main">
      <mc:Choice Requires="a14">
        <xdr:graphicFrame macro="">
          <xdr:nvGraphicFramePr>
            <xdr:cNvPr id="19" name="Representative">
              <a:extLst>
                <a:ext uri="{FF2B5EF4-FFF2-40B4-BE49-F238E27FC236}">
                  <a16:creationId xmlns:a16="http://schemas.microsoft.com/office/drawing/2014/main" id="{214B0FA3-104C-4FD5-A650-0A5A63D092E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877734" y="4231211"/>
              <a:ext cx="1389375" cy="2153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13957</xdr:colOff>
      <xdr:row>5</xdr:row>
      <xdr:rowOff>142600</xdr:rowOff>
    </xdr:from>
    <xdr:to>
      <xdr:col>14</xdr:col>
      <xdr:colOff>532858</xdr:colOff>
      <xdr:row>19</xdr:row>
      <xdr:rowOff>0</xdr:rowOff>
    </xdr:to>
    <xdr:graphicFrame macro="">
      <xdr:nvGraphicFramePr>
        <xdr:cNvPr id="20" name="Chart 19">
          <a:extLst>
            <a:ext uri="{FF2B5EF4-FFF2-40B4-BE49-F238E27FC236}">
              <a16:creationId xmlns:a16="http://schemas.microsoft.com/office/drawing/2014/main" id="{EFC2643B-8250-4F28-A95D-B598EA684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25</xdr:row>
      <xdr:rowOff>1</xdr:rowOff>
    </xdr:from>
    <xdr:to>
      <xdr:col>12</xdr:col>
      <xdr:colOff>135355</xdr:colOff>
      <xdr:row>45</xdr:row>
      <xdr:rowOff>55757</xdr:rowOff>
    </xdr:to>
    <xdr:sp macro="" textlink="">
      <xdr:nvSpPr>
        <xdr:cNvPr id="25" name="Rectangle 24">
          <a:extLst>
            <a:ext uri="{FF2B5EF4-FFF2-40B4-BE49-F238E27FC236}">
              <a16:creationId xmlns:a16="http://schemas.microsoft.com/office/drawing/2014/main" id="{00D3A047-E2B5-EADF-CD6D-192D33C93924}"/>
            </a:ext>
          </a:extLst>
        </xdr:cNvPr>
        <xdr:cNvSpPr/>
      </xdr:nvSpPr>
      <xdr:spPr>
        <a:xfrm>
          <a:off x="2119745" y="4613565"/>
          <a:ext cx="4402555" cy="3879610"/>
        </a:xfrm>
        <a:prstGeom prst="rect">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4</xdr:row>
      <xdr:rowOff>47625</xdr:rowOff>
    </xdr:from>
    <xdr:to>
      <xdr:col>11</xdr:col>
      <xdr:colOff>388938</xdr:colOff>
      <xdr:row>21</xdr:row>
      <xdr:rowOff>0</xdr:rowOff>
    </xdr:to>
    <xdr:graphicFrame macro="">
      <xdr:nvGraphicFramePr>
        <xdr:cNvPr id="5" name="Chart 4">
          <a:extLst>
            <a:ext uri="{FF2B5EF4-FFF2-40B4-BE49-F238E27FC236}">
              <a16:creationId xmlns:a16="http://schemas.microsoft.com/office/drawing/2014/main" id="{03C7DEA7-B782-4193-A2C8-FBABED990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408940</xdr:colOff>
      <xdr:row>25</xdr:row>
      <xdr:rowOff>1</xdr:rowOff>
    </xdr:from>
    <xdr:to>
      <xdr:col>12</xdr:col>
      <xdr:colOff>166687</xdr:colOff>
      <xdr:row>45</xdr:row>
      <xdr:rowOff>1449</xdr:rowOff>
    </xdr:to>
    <xdr:graphicFrame macro="">
      <xdr:nvGraphicFramePr>
        <xdr:cNvPr id="23" name="Chart 22">
          <a:extLst>
            <a:ext uri="{FF2B5EF4-FFF2-40B4-BE49-F238E27FC236}">
              <a16:creationId xmlns:a16="http://schemas.microsoft.com/office/drawing/2014/main" id="{72EA0D21-F8F4-4BCE-B94B-A2425AEFE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86061</xdr:colOff>
      <xdr:row>25</xdr:row>
      <xdr:rowOff>0</xdr:rowOff>
    </xdr:from>
    <xdr:to>
      <xdr:col>8</xdr:col>
      <xdr:colOff>467061</xdr:colOff>
      <xdr:row>45</xdr:row>
      <xdr:rowOff>31527</xdr:rowOff>
    </xdr:to>
    <xdr:graphicFrame macro="">
      <xdr:nvGraphicFramePr>
        <xdr:cNvPr id="24" name="Chart 23">
          <a:extLst>
            <a:ext uri="{FF2B5EF4-FFF2-40B4-BE49-F238E27FC236}">
              <a16:creationId xmlns:a16="http://schemas.microsoft.com/office/drawing/2014/main" id="{6E0DD4D1-1FEF-4B32-AE8A-692C4FE4D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151163</xdr:colOff>
      <xdr:row>3</xdr:row>
      <xdr:rowOff>129533</xdr:rowOff>
    </xdr:from>
    <xdr:to>
      <xdr:col>21</xdr:col>
      <xdr:colOff>0</xdr:colOff>
      <xdr:row>18</xdr:row>
      <xdr:rowOff>37170</xdr:rowOff>
    </xdr:to>
    <xdr:graphicFrame macro="">
      <xdr:nvGraphicFramePr>
        <xdr:cNvPr id="4" name="Chart 3">
          <a:extLst>
            <a:ext uri="{FF2B5EF4-FFF2-40B4-BE49-F238E27FC236}">
              <a16:creationId xmlns:a16="http://schemas.microsoft.com/office/drawing/2014/main" id="{3334931F-227D-402B-977E-11CD92C10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343829</xdr:colOff>
      <xdr:row>3</xdr:row>
      <xdr:rowOff>148684</xdr:rowOff>
    </xdr:from>
    <xdr:to>
      <xdr:col>25</xdr:col>
      <xdr:colOff>569325</xdr:colOff>
      <xdr:row>18</xdr:row>
      <xdr:rowOff>48421</xdr:rowOff>
    </xdr:to>
    <xdr:graphicFrame macro="">
      <xdr:nvGraphicFramePr>
        <xdr:cNvPr id="21" name="Chart 20">
          <a:extLst>
            <a:ext uri="{FF2B5EF4-FFF2-40B4-BE49-F238E27FC236}">
              <a16:creationId xmlns:a16="http://schemas.microsoft.com/office/drawing/2014/main" id="{9DBC97CD-CE36-49DF-BC6D-E6A77013F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79.846831712966" backgroundQuery="1" createdVersion="8" refreshedVersion="8" minRefreshableVersion="3" recordCount="0" supportSubquery="1" supportAdvancedDrill="1" xr:uid="{2C34B9EA-C5D9-46C5-8820-1904B1BC962F}">
  <cacheSource type="external" connectionId="1"/>
  <cacheFields count="3">
    <cacheField name="[Calls].[Representative].[Representative]" caption="Representative" numFmtId="0" hierarchy="3" level="1">
      <sharedItems count="7">
        <s v="R001"/>
        <s v="R002"/>
        <s v="R003"/>
        <s v="R004"/>
        <s v="R005"/>
        <s v="R006"/>
        <s v="R007"/>
      </sharedItems>
    </cacheField>
    <cacheField name="[Measures].[Call Count]" caption="Call Count" numFmtId="0" hierarchy="16" level="32767"/>
    <cacheField name="[Measures].[Total Amount]" caption="Total Am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Month]" caption="Month" attribute="1" defaultMemberUniqueName="[Calls].[Month].[All]" allUniqueName="[Calls].[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79.846832407406" backgroundQuery="1" createdVersion="8" refreshedVersion="8" minRefreshableVersion="3" recordCount="0" supportSubquery="1" supportAdvancedDrill="1" xr:uid="{6140D017-4C27-43F0-9246-2892436B6D2E}">
  <cacheSource type="external" connectionId="1"/>
  <cacheFields count="5">
    <cacheField name="[Measures].[Call Count]" caption="Call Count" numFmtId="0" hierarchy="16" level="32767"/>
    <cacheField name="[Measures].[Total Amount]" caption="Total Amount" numFmtId="0" hierarchy="17" level="32767"/>
    <cacheField name="[Measures].[Total Duration]" caption="Total Duration" numFmtId="0" hierarchy="18" level="32767"/>
    <cacheField name="[Measures].[Average Rating]" caption="Average Rating" numFmtId="0" hierarchy="19" level="32767"/>
    <cacheField name="[Measures].[5*Calls]" caption="5*Calls" numFmtId="0" hierarchy="20"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Month]" caption="Month" attribute="1" defaultMemberUniqueName="[Calls].[Month].[All]" allUniqueName="[Calls].[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79.847339583335" backgroundQuery="1" createdVersion="8" refreshedVersion="8" minRefreshableVersion="3" recordCount="0" supportSubquery="1" supportAdvancedDrill="1" xr:uid="{FB286E91-C0E6-4822-9D07-3F546E6FFA4D}">
  <cacheSource type="external" connectionId="1"/>
  <cacheFields count="3">
    <cacheField name="[Customer].[Gender].[Gender]" caption="Gender" numFmtId="0" hierarchy="13" level="1">
      <sharedItems count="2">
        <s v="Female"/>
        <s v="Male"/>
      </sharedItems>
    </cacheField>
    <cacheField name="[Customer].[City].[City]" caption="City" numFmtId="0" hierarchy="15" level="1">
      <sharedItems count="4">
        <s v="Chennai"/>
        <s v="Madurai"/>
        <s v="Salem"/>
        <s v="Trichy"/>
      </sharedItems>
    </cacheField>
    <cacheField name="[Measures].[Call Count]" caption="Call Count" numFmtId="0" hierarchy="16"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Month]" caption="Month" attribute="1" defaultMemberUniqueName="[Calls].[Month].[All]" allUniqueName="[Calls].[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80.016148842595" backgroundQuery="1" createdVersion="8" refreshedVersion="8" minRefreshableVersion="3" recordCount="0" supportSubquery="1" supportAdvancedDrill="1" xr:uid="{779D8091-4679-40F6-A384-BAC91CD4123F}">
  <cacheSource type="external" connectionId="1"/>
  <cacheFields count="4">
    <cacheField name="[Customer].[City].[City]" caption="City" numFmtId="0" hierarchy="15" level="1">
      <sharedItems count="4">
        <s v="Chennai"/>
        <s v="Madurai"/>
        <s v="Salem"/>
        <s v="Trichy"/>
      </sharedItems>
    </cacheField>
    <cacheField name="[Customer].[Customer ID].[Customer ID]" caption="Customer ID" numFmtId="0" hierarchy="12" level="1">
      <sharedItems count="20">
        <s v="C001"/>
        <s v="C002"/>
        <s v="C008"/>
        <s v="C014"/>
        <s v="C019"/>
        <s v="C020"/>
        <s v="C003"/>
        <s v="C011"/>
        <s v="C015"/>
        <s v="C017"/>
        <s v="C005"/>
        <s v="C009"/>
        <s v="C010"/>
        <s v="C012"/>
        <s v="C018"/>
        <s v="C004"/>
        <s v="C006"/>
        <s v="C007"/>
        <s v="C013"/>
        <s v="C016"/>
      </sharedItems>
    </cacheField>
    <cacheField name="[Calls].[Representative].[Representative]" caption="Representative" numFmtId="0" hierarchy="3" level="1">
      <sharedItems count="7">
        <s v="R001"/>
        <s v="R002"/>
        <s v="R003"/>
        <s v="R004"/>
        <s v="R005"/>
        <s v="R006"/>
        <s v="R007"/>
      </sharedItems>
    </cacheField>
    <cacheField name="[Measures].[Total Amount]" caption="Total Am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Month]" caption="Month" attribute="1" defaultMemberUniqueName="[Calls].[Month].[All]" allUniqueName="[Calls].[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2" memberValueDatatype="130" unbalanced="0">
      <fieldsUsage count="2">
        <fieldUsage x="-1"/>
        <fieldUsage x="1"/>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84.932674768519" backgroundQuery="1" createdVersion="8" refreshedVersion="8" minRefreshableVersion="3" recordCount="0" supportSubquery="1" supportAdvancedDrill="1" xr:uid="{AD3CA9CA-A469-4BDF-B95B-50ACF5DE1054}">
  <cacheSource type="external" connectionId="1"/>
  <cacheFields count="6">
    <cacheField name="[Measures].[Call Count]" caption="Call Count" numFmtId="0" hierarchy="16" level="32767"/>
    <cacheField name="[Measures].[Total Amount]" caption="Total Amount" numFmtId="0" hierarchy="17" level="32767"/>
    <cacheField name="[Measures].[Total Duration]" caption="Total Duration" numFmtId="0" hierarchy="18" level="32767"/>
    <cacheField name="[Measures].[Average Rating]" caption="Average Rating" numFmtId="0" hierarchy="19" level="32767"/>
    <cacheField name="[Measures].[5*Calls]" caption="5*Calls" numFmtId="0" hierarchy="20"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Month]" caption="Month" attribute="1" defaultMemberUniqueName="[Calls].[Month].[All]" allUniqueName="[Calls].[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84.932674999996" backgroundQuery="1" createdVersion="8" refreshedVersion="8" minRefreshableVersion="3" recordCount="0" supportSubquery="1" supportAdvancedDrill="1" xr:uid="{9CCB09CD-B1F9-4701-A528-01CD43BA6029}">
  <cacheSource type="external" connectionId="1"/>
  <cacheFields count="4">
    <cacheField name="[Calls].[Month].[Month]" caption="Month" numFmtId="0" hierarchy="11" level="1">
      <sharedItems count="7">
        <s v="Apr"/>
        <s v="Feb"/>
        <s v="Jan"/>
        <s v="Jul"/>
        <s v="Jun"/>
        <s v="Mar"/>
        <s v="May"/>
      </sharedItems>
    </cacheField>
    <cacheField name="[Measures].[Call Count]" caption="Call Count" numFmtId="0" hierarchy="16" level="32767"/>
    <cacheField name="[Calls].[Representative].[Representative]" caption="Representative" numFmtId="0" hierarchy="3" level="1">
      <sharedItems containsSemiMixedTypes="0" containsNonDate="0" containsString="0"/>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Month]" caption="Month" attribute="1" defaultMemberUniqueName="[Calls].[Month].[All]" allUniqueName="[Calls].[Month].[All]" dimensionUniqueName="[Calls]" displayFolder="" count="2" memberValueDatatype="130" unbalanced="0">
      <fieldsUsage count="2">
        <fieldUsage x="-1"/>
        <fieldUsage x="0"/>
      </fieldsUsage>
    </cacheHierarchy>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84.93267534722" backgroundQuery="1" createdVersion="8" refreshedVersion="8" minRefreshableVersion="3" recordCount="0" supportSubquery="1" supportAdvancedDrill="1" xr:uid="{7C1A2BEC-D678-4E0A-AA0A-11C4FB4AD95A}">
  <cacheSource type="external" connectionId="1"/>
  <cacheFields count="4">
    <cacheField name="[Calls].[Month].[Month]" caption="Month" numFmtId="0" hierarchy="11" level="1">
      <sharedItems count="7">
        <s v="Apr"/>
        <s v="Feb"/>
        <s v="Jan"/>
        <s v="Jul"/>
        <s v="Jun"/>
        <s v="Mar"/>
        <s v="May"/>
      </sharedItems>
    </cacheField>
    <cacheField name="[Calls].[Day of week].[Day of week]" caption="Day of week" numFmtId="0" hierarchy="10" level="1">
      <sharedItems count="7">
        <s v="Friday"/>
        <s v="Monday"/>
        <s v="Saturday"/>
        <s v="Sunday"/>
        <s v="Thursday"/>
        <s v="Tuesday"/>
        <s v="Wednesday"/>
      </sharedItems>
    </cacheField>
    <cacheField name="[Measures].[Call Count]" caption="Call Count" numFmtId="0" hierarchy="16"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Month]" caption="Month" attribute="1" defaultMemberUniqueName="[Calls].[Month].[All]" allUniqueName="[Calls].[Month].[All]" dimensionUniqueName="[Calls]" displayFolder="" count="2" memberValueDatatype="130" unbalanced="0">
      <fieldsUsage count="2">
        <fieldUsage x="-1"/>
        <fieldUsage x="0"/>
      </fieldsUsage>
    </cacheHierarchy>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84.932675578704" backgroundQuery="1" createdVersion="8" refreshedVersion="8" minRefreshableVersion="3" recordCount="0" supportSubquery="1" supportAdvancedDrill="1" xr:uid="{A485037E-B04F-40DC-A61C-5DC469985DC3}">
  <cacheSource type="external" connectionId="1"/>
  <cacheFields count="1">
    <cacheField name="[Calls].[Representative].[Representative]" caption="Representative" numFmtId="0" hierarchy="3" level="1">
      <sharedItems count="1">
        <s v="R0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Month]" caption="Month" attribute="1" defaultMemberUniqueName="[Calls].[Month].[All]" allUniqueName="[Calls].[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84.932676041666" backgroundQuery="1" createdVersion="8" refreshedVersion="8" minRefreshableVersion="3" recordCount="0" supportSubquery="1" supportAdvancedDrill="1" xr:uid="{2DF8D26A-A3D4-4ADA-894E-3E4D0A317BE7}">
  <cacheSource type="external" connectionId="1"/>
  <cacheFields count="3">
    <cacheField name="[Measures].[Call Count]" caption="Call Count" numFmtId="0" hierarchy="16" level="32767"/>
    <cacheField name="[Calls].[Rounded Rating].[Rounded Rating]" caption="Rounded Rating" numFmtId="0" hierarchy="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ounded Rating].&amp;[1]"/>
            <x15:cachedUniqueName index="1" name="[Calls].[Rounded Rating].&amp;[2]"/>
            <x15:cachedUniqueName index="2" name="[Calls].[Rounded Rating].&amp;[3]"/>
            <x15:cachedUniqueName index="3" name="[Calls].[Rounded Rating].&amp;[4]"/>
            <x15:cachedUniqueName index="4" name="[Calls].[Rounded Rating].&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2" memberValueDatatype="2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Month]" caption="Month" attribute="1" defaultMemberUniqueName="[Calls].[Month].[All]" allUniqueName="[Calls].[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y Ganesan" refreshedDate="45979.846825578701" backgroundQuery="1" createdVersion="3" refreshedVersion="8" minRefreshableVersion="3" recordCount="0" supportSubquery="1" supportAdvancedDrill="1" xr:uid="{5C229160-088F-436A-AF82-979FA8180D1E}">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Min)]" caption="Duration (Min)" attribute="1" defaultMemberUniqueName="[Calls].[Duration (Min)].[All]" allUniqueName="[Calls].[Duration (Mi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defaultMemberUniqueName="[Calls].[Date of Call].[All]" allUniqueName="[Calls].[Date of Call].[All]" dimensionUniqueName="[Calls]" displayFolder="" count="0" memberValueDatatype="13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ory Rating]" caption="Satisfactory Rating" attribute="1" defaultMemberUniqueName="[Calls].[Satisfactory Rating].[All]" allUniqueName="[Calls].[Satisfactory Rating].[All]" dimensionUniqueName="[Calls]" displayFolder="" count="0" memberValueDatatype="5"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Month]" caption="Month" attribute="1" defaultMemberUniqueName="[Calls].[Month].[All]" allUniqueName="[Calls].[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439491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658E31-6656-4BC5-8FE4-70770AC7B2F0}" name="week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0">
  <location ref="E15:F23" firstHeaderRow="1" firstDataRow="1" firstDataCol="1"/>
  <pivotFields count="4">
    <pivotField allDrilled="1" subtotalTop="0" showAll="0" sortType="ascending" defaultSubtotal="0" defaultAttributeDrillState="1">
      <items count="7">
        <item x="2"/>
        <item x="1"/>
        <item x="5"/>
        <item x="0"/>
        <item x="6"/>
        <item x="4"/>
        <item x="3"/>
      </items>
    </pivotField>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4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51CAF5-4AEE-4F0F-8CAB-A54E60BC9EC5}" name="Rep. "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2" subtotal="count" baseField="0" baseItem="0"/>
    <dataField fld="1" subtotal="count" baseField="0" baseItem="0"/>
  </dataFields>
  <pivotHierarchies count="26">
    <pivotHierarchy dragToData="1"/>
    <pivotHierarchy dragToData="1"/>
    <pivotHierarchy dragToData="1"/>
    <pivotHierarchy multipleItemSelectionAllowed="1" dragToData="1">
      <members count="1" level="1">
        <member name="[Calls].[Representative].&amp;[R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800650-1D58-4A95-9638-D0A6E8A782EB}"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3">
  <location ref="A15:C23" firstHeaderRow="0" firstDataRow="1" firstDataCol="1"/>
  <pivotFields count="4">
    <pivotField axis="axisRow" allDrilled="1" subtotalTop="0" showAll="0" sortType="ascending" defaultSubtotal="0" defaultAttributeDrillState="1">
      <items count="7">
        <item x="2"/>
        <item x="1"/>
        <item x="5"/>
        <item x="0"/>
        <item x="6"/>
        <item x="4"/>
        <item x="3"/>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name="Call Count2" fld="3" subtotal="count" baseField="0" baseItem="0">
      <extLst>
        <ext xmlns:x14="http://schemas.microsoft.com/office/spreadsheetml/2009/9/main" uri="{E15A36E0-9728-4e99-A89B-3F7291B0FE68}">
          <x14:dataField sourceField="1" uniqueName="[__Xl2].[Measures].[Call Count]"/>
        </ext>
      </extLst>
    </dataField>
  </dataFields>
  <chartFormats count="2">
    <chartFormat chart="42" format="4" series="1">
      <pivotArea type="data" outline="0" fieldPosition="0">
        <references count="1">
          <reference field="4294967294" count="1" selected="0">
            <x v="1"/>
          </reference>
        </references>
      </pivotArea>
    </chartFormat>
    <chartFormat chart="42"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E6A29B-EA39-41DE-BE46-1F7F4EAC570C}" name="Selected Reps."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V3:V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65E0FA-6EC8-470E-8DF8-37235BEB6794}" name="Summary"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2" subtotal="count" baseField="0" baseItem="0"/>
    <dataField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4ACD0C-5199-461F-B21A-DFC431B9D9A1}" name="Female vs Ma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5:M2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fld="2" subtotal="count" baseField="0" baseItem="0"/>
  </dataFields>
  <chartFormats count="2">
    <chartFormat chart="11" format="5" series="1">
      <pivotArea type="data" outline="0" fieldPosition="0">
        <references count="2">
          <reference field="4294967294" count="1" selected="0">
            <x v="0"/>
          </reference>
          <reference field="0" count="1" selected="0">
            <x v="0"/>
          </reference>
        </references>
      </pivotArea>
    </chartFormat>
    <chartFormat chart="11" format="6" series="1">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F34723-42C8-42D4-B41C-87A64D3FCE1F}" name="Rep Satisfact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O15:P2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42E91E-E9AA-413B-B6E4-BCBBEC5D810F}" name="Rep.s analysi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L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702849-1E76-4729-81C0-1A3F99072C7E}"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7:I52" firstHeaderRow="1" firstDataRow="2"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s>
  <rowFields count="2">
    <field x="0"/>
    <field x="1"/>
  </rowFields>
  <rowItems count="24">
    <i>
      <x/>
    </i>
    <i r="1">
      <x/>
    </i>
    <i r="1">
      <x v="1"/>
    </i>
    <i r="1">
      <x v="2"/>
    </i>
    <i r="1">
      <x v="3"/>
    </i>
    <i r="1">
      <x v="4"/>
    </i>
    <i r="1">
      <x v="5"/>
    </i>
    <i>
      <x v="1"/>
    </i>
    <i r="1">
      <x v="6"/>
    </i>
    <i r="1">
      <x v="7"/>
    </i>
    <i r="1">
      <x v="8"/>
    </i>
    <i r="1">
      <x v="9"/>
    </i>
    <i>
      <x v="2"/>
    </i>
    <i r="1">
      <x v="10"/>
    </i>
    <i r="1">
      <x v="11"/>
    </i>
    <i r="1">
      <x v="12"/>
    </i>
    <i r="1">
      <x v="13"/>
    </i>
    <i r="1">
      <x v="14"/>
    </i>
    <i>
      <x v="3"/>
    </i>
    <i r="1">
      <x v="15"/>
    </i>
    <i r="1">
      <x v="16"/>
    </i>
    <i r="1">
      <x v="17"/>
    </i>
    <i r="1">
      <x v="18"/>
    </i>
    <i r="1">
      <x v="19"/>
    </i>
  </rowItems>
  <colFields count="1">
    <field x="2"/>
  </colFields>
  <colItems count="8">
    <i>
      <x/>
    </i>
    <i>
      <x v="1"/>
    </i>
    <i>
      <x v="2"/>
    </i>
    <i>
      <x v="3"/>
    </i>
    <i>
      <x v="4"/>
    </i>
    <i>
      <x v="5"/>
    </i>
    <i>
      <x v="6"/>
    </i>
    <i t="grand">
      <x/>
    </i>
  </colItems>
  <dataFields count="1">
    <dataField fld="3"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F78EF36-29B0-443B-BAA0-EF55707053E7}" sourceName="[Calls].[Representative]">
  <pivotTables>
    <pivotTable tabId="5" name="Rep. "/>
    <pivotTable tabId="5" name="Monthly trend"/>
    <pivotTable tabId="5" name="weekday trend"/>
    <pivotTable tabId="5" name="Selected Reps."/>
    <pivotTable tabId="5" name="Rep Satisfaction"/>
  </pivotTables>
  <data>
    <olap pivotCacheId="43949184">
      <levels count="2">
        <level uniqueName="[Calls].[Representative].[(All)]" sourceCaption="(All)" count="0"/>
        <level uniqueName="[Calls].[Representative].[Representative]" sourceCaption="Representative" count="7">
          <ranges>
            <range startItem="0">
              <i n="[Calls].[Representative].&amp;[R001]" c="R001"/>
              <i n="[Calls].[Representative].&amp;[R002]" c="R002"/>
              <i n="[Calls].[Representative].&amp;[R003]" c="R003"/>
              <i n="[Calls].[Representative].&amp;[R004]" c="R004"/>
              <i n="[Calls].[Representative].&amp;[R005]" c="R005"/>
              <i n="[Calls].[Representative].&amp;[R006]" c="R006"/>
              <i n="[Calls].[Representative].&amp;[R007]" c="R007"/>
            </range>
          </ranges>
        </level>
      </levels>
      <selections count="1">
        <selection n="[Calls].[Representative].&amp;[R0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9290A46-B730-424D-B4E4-CFA12D1DAE36}" cache="Slicer_Representative" caption="Representative" level="1"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448F69-33E1-4367-99E7-3E7D2BC271D1}" name="Calls" displayName="Calls" ref="A1:L1001" totalsRowShown="0" headerRowDxfId="9" headerRowBorderDxfId="8" tableBorderDxfId="7">
  <autoFilter ref="A1:L1001" xr:uid="{99448F69-33E1-4367-99E7-3E7D2BC271D1}"/>
  <tableColumns count="12">
    <tableColumn id="1" xr3:uid="{5D00D615-7F27-4EA8-A477-AF66414F469A}" name="Call Number"/>
    <tableColumn id="2" xr3:uid="{F3EDECB3-97C5-4FAF-9EBE-1513D2FB851F}" name="Customer ID"/>
    <tableColumn id="3" xr3:uid="{6D2A0D72-F667-49BB-9AFE-8E02A07B3E41}" name="Duration (Min)"/>
    <tableColumn id="4" xr3:uid="{4AADEE80-8F83-49F6-A154-8FF9AC4AC11B}" name="Representative"/>
    <tableColumn id="5" xr3:uid="{7FF681AF-96AE-4E28-8EA3-F3F0AB5870CA}" name="Date of Call"/>
    <tableColumn id="6" xr3:uid="{8E104A81-FFD2-49FD-A2A9-9B8ECBD2BD3F}" name="Purchase Amount"/>
    <tableColumn id="7" xr3:uid="{D6B9E8C1-0739-4626-9D83-9932B75F365A}" name="Satisfactory Rating"/>
    <tableColumn id="8" xr3:uid="{3F65DB19-52C3-4D3F-8D39-B17188E848EE}" name="Rounded Rating" dataDxfId="6">
      <calculatedColumnFormula>ROUND(Calls[[#This Row],[Satisfactory Rating]],0)</calculatedColumnFormula>
    </tableColumn>
    <tableColumn id="9" xr3:uid="{097EEEBD-9346-43E8-A150-53FAA3F5BB7D}" name="Duration Bucket" dataDxfId="5">
      <calculatedColumnFormula array="1">_xlfn.IFS(Calls[[#This Row],[Duration (Min)]]&lt;=30,"Under 30 mins",Calls[[#This Row],[Duration (Min)]]&lt;=60,"Under 1h",Calls[[#This Row],[Duration (Min)]]&lt;=120,"Under 2",TRUE,"More than 2h")</calculatedColumnFormula>
    </tableColumn>
    <tableColumn id="10" xr3:uid="{E6367839-3CED-4B08-B869-4E7882707EB2}" name="FY" dataDxfId="4">
      <calculatedColumnFormula>IF(MONTH(Calls[[#This Row],[Date of Call]])&lt;=3,YEAR(Calls[[#This Row],[Date of Call]]),YEAR(Calls[[#This Row],[Date of Call]])+1)</calculatedColumnFormula>
    </tableColumn>
    <tableColumn id="11" xr3:uid="{99DBC97D-E238-48F0-846C-0B575AE6E32E}" name="Day of week" dataDxfId="3">
      <calculatedColumnFormula>TEXT(Calls[[#This Row],[Date of Call]],"dddd")</calculatedColumnFormula>
    </tableColumn>
    <tableColumn id="14" xr3:uid="{33D5FCF6-8EE0-461E-9636-C7CD62480F91}" name="Month" dataDxfId="2">
      <calculatedColumnFormula>TEXT(Calls[[#This Row],[Date of Call]],"mmm")</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9668B9-C447-4CF4-85F3-746A67F59AEE}" name="Customer" displayName="Customer" ref="P1:S21" totalsRowShown="0">
  <autoFilter ref="P1:S21" xr:uid="{8B9668B9-C447-4CF4-85F3-746A67F59AEE}"/>
  <tableColumns count="4">
    <tableColumn id="1" xr3:uid="{BA4BA420-32BD-49CD-90D4-3CDE9D4275BF}" name="Customer ID" dataDxfId="1"/>
    <tableColumn id="2" xr3:uid="{E06969CB-325A-44FF-98C3-F16C2721AD1C}" name="Gender"/>
    <tableColumn id="3" xr3:uid="{8118F6BA-246B-47D3-8580-BB22AE48E46F}" name="Age"/>
    <tableColumn id="4" xr3:uid="{CDAA7381-B4B0-48C6-BB70-D79D2B4CF4D8}" name="City"/>
  </tableColumns>
  <tableStyleInfo name="TableStyleMedium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1"/>
  <sheetViews>
    <sheetView topLeftCell="A989" workbookViewId="0">
      <selection activeCell="M2" sqref="M2"/>
    </sheetView>
  </sheetViews>
  <sheetFormatPr defaultRowHeight="14.4" x14ac:dyDescent="0.3"/>
  <cols>
    <col min="1" max="1" width="14.109375" customWidth="1"/>
    <col min="2" max="2" width="15.88671875" customWidth="1"/>
    <col min="3" max="3" width="17.33203125" customWidth="1"/>
    <col min="4" max="4" width="17.88671875" customWidth="1"/>
    <col min="5" max="5" width="16.88671875" customWidth="1"/>
    <col min="6" max="6" width="18.5546875" customWidth="1"/>
    <col min="7" max="7" width="21.5546875" customWidth="1"/>
    <col min="8" max="8" width="20.77734375" customWidth="1"/>
    <col min="9" max="9" width="17.88671875" customWidth="1"/>
    <col min="10" max="10" width="12.5546875" customWidth="1"/>
    <col min="11" max="11" width="18.109375" customWidth="1"/>
    <col min="16" max="16" width="15" customWidth="1"/>
    <col min="17" max="17" width="9" customWidth="1"/>
  </cols>
  <sheetData>
    <row r="1" spans="1:19" x14ac:dyDescent="0.3">
      <c r="A1" s="1" t="s">
        <v>0</v>
      </c>
      <c r="B1" s="1" t="s">
        <v>1</v>
      </c>
      <c r="C1" s="1" t="s">
        <v>2</v>
      </c>
      <c r="D1" s="1" t="s">
        <v>1233</v>
      </c>
      <c r="E1" s="1" t="s">
        <v>3</v>
      </c>
      <c r="F1" s="1" t="s">
        <v>4</v>
      </c>
      <c r="G1" s="1" t="s">
        <v>5</v>
      </c>
      <c r="H1" s="1" t="s">
        <v>1234</v>
      </c>
      <c r="I1" s="1" t="s">
        <v>1235</v>
      </c>
      <c r="J1" s="1" t="s">
        <v>1236</v>
      </c>
      <c r="K1" s="1" t="s">
        <v>1237</v>
      </c>
      <c r="L1" s="8" t="s">
        <v>1254</v>
      </c>
      <c r="P1" t="s">
        <v>1</v>
      </c>
      <c r="Q1" t="s">
        <v>1240</v>
      </c>
      <c r="R1" t="s">
        <v>1243</v>
      </c>
      <c r="S1" t="s">
        <v>1244</v>
      </c>
    </row>
    <row r="2" spans="1:19" x14ac:dyDescent="0.3">
      <c r="A2" t="s">
        <v>6</v>
      </c>
      <c r="B2" t="s">
        <v>1006</v>
      </c>
      <c r="C2">
        <v>32</v>
      </c>
      <c r="D2" t="s">
        <v>1026</v>
      </c>
      <c r="E2" t="s">
        <v>1033</v>
      </c>
      <c r="F2">
        <v>101</v>
      </c>
      <c r="G2">
        <v>3.7</v>
      </c>
      <c r="H2">
        <f>ROUND(Calls[[#This Row],[Satisfactory Rating]],0)</f>
        <v>4</v>
      </c>
      <c r="I2" t="str" cm="1">
        <f t="array" ref="I2">_xlfn.IFS(Calls[[#This Row],[Duration (Min)]]&lt;=30,"Under 30 mins",Calls[[#This Row],[Duration (Min)]]&lt;=60,"Under 1h",Calls[[#This Row],[Duration (Min)]]&lt;=120,"Under 2",TRUE,"More than 2h")</f>
        <v>Under 1h</v>
      </c>
      <c r="J2">
        <f>IF(MONTH(Calls[[#This Row],[Date of Call]])&lt;=3,YEAR(Calls[[#This Row],[Date of Call]]),YEAR(Calls[[#This Row],[Date of Call]])+1)</f>
        <v>2025</v>
      </c>
      <c r="K2" t="str">
        <f>TEXT(Calls[[#This Row],[Date of Call]],"dddd")</f>
        <v>Wednesday</v>
      </c>
      <c r="L2" t="str">
        <f>TEXT(Calls[[#This Row],[Date of Call]],"mmm")</f>
        <v>Jan</v>
      </c>
      <c r="P2" t="s">
        <v>1018</v>
      </c>
      <c r="Q2" t="s">
        <v>1241</v>
      </c>
      <c r="R2">
        <v>31</v>
      </c>
      <c r="S2" t="s">
        <v>1245</v>
      </c>
    </row>
    <row r="3" spans="1:19" x14ac:dyDescent="0.3">
      <c r="A3" t="s">
        <v>7</v>
      </c>
      <c r="B3" t="s">
        <v>1007</v>
      </c>
      <c r="C3">
        <v>53</v>
      </c>
      <c r="D3" t="s">
        <v>1027</v>
      </c>
      <c r="E3" t="s">
        <v>1033</v>
      </c>
      <c r="F3">
        <v>122</v>
      </c>
      <c r="G3">
        <v>2</v>
      </c>
      <c r="H3">
        <f>ROUND(Calls[[#This Row],[Satisfactory Rating]],0)</f>
        <v>2</v>
      </c>
      <c r="I3" t="str" cm="1">
        <f t="array" ref="I3">_xlfn.IFS(Calls[[#This Row],[Duration (Min)]]&lt;=30,"Under 30 mins",Calls[[#This Row],[Duration (Min)]]&lt;=60,"Under 1h",Calls[[#This Row],[Duration (Min)]]&lt;=120,"Under 2",TRUE,"More than 2h")</f>
        <v>Under 1h</v>
      </c>
      <c r="J3">
        <f>IF(MONTH(Calls[[#This Row],[Date of Call]])&lt;=3,YEAR(Calls[[#This Row],[Date of Call]]),YEAR(Calls[[#This Row],[Date of Call]])+1)</f>
        <v>2025</v>
      </c>
      <c r="K3" t="str">
        <f>TEXT(Calls[[#This Row],[Date of Call]],"dddd")</f>
        <v>Wednesday</v>
      </c>
      <c r="L3" t="str">
        <f>TEXT(Calls[[#This Row],[Date of Call]],"mmm")</f>
        <v>Jan</v>
      </c>
      <c r="P3" t="s">
        <v>1022</v>
      </c>
      <c r="Q3" t="s">
        <v>1241</v>
      </c>
      <c r="R3">
        <v>55</v>
      </c>
      <c r="S3" t="s">
        <v>1245</v>
      </c>
    </row>
    <row r="4" spans="1:19" x14ac:dyDescent="0.3">
      <c r="A4" t="s">
        <v>8</v>
      </c>
      <c r="B4" t="s">
        <v>1006</v>
      </c>
      <c r="C4">
        <v>59</v>
      </c>
      <c r="D4" t="s">
        <v>1028</v>
      </c>
      <c r="E4" t="s">
        <v>1033</v>
      </c>
      <c r="F4">
        <v>124</v>
      </c>
      <c r="G4">
        <v>2.4</v>
      </c>
      <c r="H4">
        <f>ROUND(Calls[[#This Row],[Satisfactory Rating]],0)</f>
        <v>2</v>
      </c>
      <c r="I4" t="str" cm="1">
        <f t="array" ref="I4">_xlfn.IFS(Calls[[#This Row],[Duration (Min)]]&lt;=30,"Under 30 mins",Calls[[#This Row],[Duration (Min)]]&lt;=60,"Under 1h",Calls[[#This Row],[Duration (Min)]]&lt;=120,"Under 2",TRUE,"More than 2h")</f>
        <v>Under 1h</v>
      </c>
      <c r="J4">
        <f>IF(MONTH(Calls[[#This Row],[Date of Call]])&lt;=3,YEAR(Calls[[#This Row],[Date of Call]]),YEAR(Calls[[#This Row],[Date of Call]])+1)</f>
        <v>2025</v>
      </c>
      <c r="K4" t="str">
        <f>TEXT(Calls[[#This Row],[Date of Call]],"dddd")</f>
        <v>Wednesday</v>
      </c>
      <c r="L4" t="str">
        <f>TEXT(Calls[[#This Row],[Date of Call]],"mmm")</f>
        <v>Jan</v>
      </c>
      <c r="P4" t="s">
        <v>1008</v>
      </c>
      <c r="Q4" t="s">
        <v>1241</v>
      </c>
      <c r="R4">
        <v>33</v>
      </c>
      <c r="S4" t="s">
        <v>1246</v>
      </c>
    </row>
    <row r="5" spans="1:19" x14ac:dyDescent="0.3">
      <c r="A5" t="s">
        <v>9</v>
      </c>
      <c r="B5" t="s">
        <v>1008</v>
      </c>
      <c r="C5">
        <v>11</v>
      </c>
      <c r="D5" t="s">
        <v>1029</v>
      </c>
      <c r="E5" t="s">
        <v>1033</v>
      </c>
      <c r="F5">
        <v>150</v>
      </c>
      <c r="G5">
        <v>3.1</v>
      </c>
      <c r="H5">
        <f>ROUND(Calls[[#This Row],[Satisfactory Rating]],0)</f>
        <v>3</v>
      </c>
      <c r="I5" t="str" cm="1">
        <f t="array" ref="I5">_xlfn.IFS(Calls[[#This Row],[Duration (Min)]]&lt;=30,"Under 30 mins",Calls[[#This Row],[Duration (Min)]]&lt;=60,"Under 1h",Calls[[#This Row],[Duration (Min)]]&lt;=120,"Under 2",TRUE,"More than 2h")</f>
        <v>Under 30 mins</v>
      </c>
      <c r="J5">
        <f>IF(MONTH(Calls[[#This Row],[Date of Call]])&lt;=3,YEAR(Calls[[#This Row],[Date of Call]]),YEAR(Calls[[#This Row],[Date of Call]])+1)</f>
        <v>2025</v>
      </c>
      <c r="K5" t="str">
        <f>TEXT(Calls[[#This Row],[Date of Call]],"dddd")</f>
        <v>Wednesday</v>
      </c>
      <c r="L5" t="str">
        <f>TEXT(Calls[[#This Row],[Date of Call]],"mmm")</f>
        <v>Jan</v>
      </c>
      <c r="P5" t="s">
        <v>1019</v>
      </c>
      <c r="Q5" t="s">
        <v>1242</v>
      </c>
      <c r="R5">
        <v>42</v>
      </c>
      <c r="S5" t="s">
        <v>1247</v>
      </c>
    </row>
    <row r="6" spans="1:19" x14ac:dyDescent="0.3">
      <c r="A6" t="s">
        <v>10</v>
      </c>
      <c r="B6" t="s">
        <v>1009</v>
      </c>
      <c r="C6">
        <v>83</v>
      </c>
      <c r="D6" t="s">
        <v>1026</v>
      </c>
      <c r="E6" t="s">
        <v>1033</v>
      </c>
      <c r="F6">
        <v>49</v>
      </c>
      <c r="G6">
        <v>3.2</v>
      </c>
      <c r="H6">
        <f>ROUND(Calls[[#This Row],[Satisfactory Rating]],0)</f>
        <v>3</v>
      </c>
      <c r="I6" t="str" cm="1">
        <f t="array" ref="I6">_xlfn.IFS(Calls[[#This Row],[Duration (Min)]]&lt;=30,"Under 30 mins",Calls[[#This Row],[Duration (Min)]]&lt;=60,"Under 1h",Calls[[#This Row],[Duration (Min)]]&lt;=120,"Under 2",TRUE,"More than 2h")</f>
        <v>Under 2</v>
      </c>
      <c r="J6">
        <f>IF(MONTH(Calls[[#This Row],[Date of Call]])&lt;=3,YEAR(Calls[[#This Row],[Date of Call]]),YEAR(Calls[[#This Row],[Date of Call]])+1)</f>
        <v>2025</v>
      </c>
      <c r="K6" t="str">
        <f>TEXT(Calls[[#This Row],[Date of Call]],"dddd")</f>
        <v>Wednesday</v>
      </c>
      <c r="L6" t="str">
        <f>TEXT(Calls[[#This Row],[Date of Call]],"mmm")</f>
        <v>Jan</v>
      </c>
      <c r="P6" t="s">
        <v>1009</v>
      </c>
      <c r="Q6" t="s">
        <v>1242</v>
      </c>
      <c r="R6">
        <v>19</v>
      </c>
      <c r="S6" t="s">
        <v>1248</v>
      </c>
    </row>
    <row r="7" spans="1:19" x14ac:dyDescent="0.3">
      <c r="A7" t="s">
        <v>11</v>
      </c>
      <c r="B7" t="s">
        <v>1010</v>
      </c>
      <c r="C7">
        <v>22</v>
      </c>
      <c r="D7" t="s">
        <v>1028</v>
      </c>
      <c r="E7" t="s">
        <v>1034</v>
      </c>
      <c r="F7">
        <v>27</v>
      </c>
      <c r="G7">
        <v>1.7</v>
      </c>
      <c r="H7">
        <f>ROUND(Calls[[#This Row],[Satisfactory Rating]],0)</f>
        <v>2</v>
      </c>
      <c r="I7" t="str" cm="1">
        <f t="array" ref="I7">_xlfn.IFS(Calls[[#This Row],[Duration (Min)]]&lt;=30,"Under 30 mins",Calls[[#This Row],[Duration (Min)]]&lt;=60,"Under 1h",Calls[[#This Row],[Duration (Min)]]&lt;=120,"Under 2",TRUE,"More than 2h")</f>
        <v>Under 30 mins</v>
      </c>
      <c r="J7">
        <f>IF(MONTH(Calls[[#This Row],[Date of Call]])&lt;=3,YEAR(Calls[[#This Row],[Date of Call]]),YEAR(Calls[[#This Row],[Date of Call]])+1)</f>
        <v>2025</v>
      </c>
      <c r="K7" t="str">
        <f>TEXT(Calls[[#This Row],[Date of Call]],"dddd")</f>
        <v>Thursday</v>
      </c>
      <c r="L7" t="str">
        <f>TEXT(Calls[[#This Row],[Date of Call]],"mmm")</f>
        <v>Jan</v>
      </c>
      <c r="P7" t="s">
        <v>1017</v>
      </c>
      <c r="Q7" t="s">
        <v>1241</v>
      </c>
      <c r="R7">
        <v>20</v>
      </c>
      <c r="S7" t="s">
        <v>1247</v>
      </c>
    </row>
    <row r="8" spans="1:19" x14ac:dyDescent="0.3">
      <c r="A8" t="s">
        <v>12</v>
      </c>
      <c r="B8" t="s">
        <v>1010</v>
      </c>
      <c r="C8">
        <v>63</v>
      </c>
      <c r="D8" t="s">
        <v>1030</v>
      </c>
      <c r="E8" t="s">
        <v>1034</v>
      </c>
      <c r="F8">
        <v>66</v>
      </c>
      <c r="G8">
        <v>4.5</v>
      </c>
      <c r="H8">
        <f>ROUND(Calls[[#This Row],[Satisfactory Rating]],0)</f>
        <v>5</v>
      </c>
      <c r="I8" t="str" cm="1">
        <f t="array" ref="I8">_xlfn.IFS(Calls[[#This Row],[Duration (Min)]]&lt;=30,"Under 30 mins",Calls[[#This Row],[Duration (Min)]]&lt;=60,"Under 1h",Calls[[#This Row],[Duration (Min)]]&lt;=120,"Under 2",TRUE,"More than 2h")</f>
        <v>Under 2</v>
      </c>
      <c r="J8">
        <f>IF(MONTH(Calls[[#This Row],[Date of Call]])&lt;=3,YEAR(Calls[[#This Row],[Date of Call]]),YEAR(Calls[[#This Row],[Date of Call]])+1)</f>
        <v>2025</v>
      </c>
      <c r="K8" t="str">
        <f>TEXT(Calls[[#This Row],[Date of Call]],"dddd")</f>
        <v>Thursday</v>
      </c>
      <c r="L8" t="str">
        <f>TEXT(Calls[[#This Row],[Date of Call]],"mmm")</f>
        <v>Jan</v>
      </c>
      <c r="P8" t="s">
        <v>1020</v>
      </c>
      <c r="Q8" t="s">
        <v>1241</v>
      </c>
      <c r="R8">
        <v>34</v>
      </c>
      <c r="S8" t="s">
        <v>1247</v>
      </c>
    </row>
    <row r="9" spans="1:19" x14ac:dyDescent="0.3">
      <c r="A9" t="s">
        <v>13</v>
      </c>
      <c r="B9" t="s">
        <v>1006</v>
      </c>
      <c r="C9">
        <v>90</v>
      </c>
      <c r="D9" t="s">
        <v>1028</v>
      </c>
      <c r="E9" t="s">
        <v>1034</v>
      </c>
      <c r="F9">
        <v>106</v>
      </c>
      <c r="G9">
        <v>2.7</v>
      </c>
      <c r="H9">
        <f>ROUND(Calls[[#This Row],[Satisfactory Rating]],0)</f>
        <v>3</v>
      </c>
      <c r="I9" t="str" cm="1">
        <f t="array" ref="I9">_xlfn.IFS(Calls[[#This Row],[Duration (Min)]]&lt;=30,"Under 30 mins",Calls[[#This Row],[Duration (Min)]]&lt;=60,"Under 1h",Calls[[#This Row],[Duration (Min)]]&lt;=120,"Under 2",TRUE,"More than 2h")</f>
        <v>Under 2</v>
      </c>
      <c r="J9">
        <f>IF(MONTH(Calls[[#This Row],[Date of Call]])&lt;=3,YEAR(Calls[[#This Row],[Date of Call]]),YEAR(Calls[[#This Row],[Date of Call]])+1)</f>
        <v>2025</v>
      </c>
      <c r="K9" t="str">
        <f>TEXT(Calls[[#This Row],[Date of Call]],"dddd")</f>
        <v>Thursday</v>
      </c>
      <c r="L9" t="str">
        <f>TEXT(Calls[[#This Row],[Date of Call]],"mmm")</f>
        <v>Jan</v>
      </c>
      <c r="P9" t="s">
        <v>1013</v>
      </c>
      <c r="Q9" t="s">
        <v>1242</v>
      </c>
      <c r="R9">
        <v>26</v>
      </c>
      <c r="S9" t="s">
        <v>1245</v>
      </c>
    </row>
    <row r="10" spans="1:19" x14ac:dyDescent="0.3">
      <c r="A10" t="s">
        <v>14</v>
      </c>
      <c r="B10" t="s">
        <v>1011</v>
      </c>
      <c r="C10">
        <v>108</v>
      </c>
      <c r="D10" t="s">
        <v>1026</v>
      </c>
      <c r="E10" t="s">
        <v>1034</v>
      </c>
      <c r="F10">
        <v>97</v>
      </c>
      <c r="G10">
        <v>3</v>
      </c>
      <c r="H10">
        <f>ROUND(Calls[[#This Row],[Satisfactory Rating]],0)</f>
        <v>3</v>
      </c>
      <c r="I10" t="str" cm="1">
        <f t="array" ref="I10">_xlfn.IFS(Calls[[#This Row],[Duration (Min)]]&lt;=30,"Under 30 mins",Calls[[#This Row],[Duration (Min)]]&lt;=60,"Under 1h",Calls[[#This Row],[Duration (Min)]]&lt;=120,"Under 2",TRUE,"More than 2h")</f>
        <v>Under 2</v>
      </c>
      <c r="J10">
        <f>IF(MONTH(Calls[[#This Row],[Date of Call]])&lt;=3,YEAR(Calls[[#This Row],[Date of Call]]),YEAR(Calls[[#This Row],[Date of Call]])+1)</f>
        <v>2025</v>
      </c>
      <c r="K10" t="str">
        <f>TEXT(Calls[[#This Row],[Date of Call]],"dddd")</f>
        <v>Thursday</v>
      </c>
      <c r="L10" t="str">
        <f>TEXT(Calls[[#This Row],[Date of Call]],"mmm")</f>
        <v>Jan</v>
      </c>
      <c r="P10" t="s">
        <v>1024</v>
      </c>
      <c r="Q10" t="s">
        <v>1242</v>
      </c>
      <c r="R10">
        <v>27</v>
      </c>
      <c r="S10" t="s">
        <v>1248</v>
      </c>
    </row>
    <row r="11" spans="1:19" x14ac:dyDescent="0.3">
      <c r="A11" t="s">
        <v>15</v>
      </c>
      <c r="B11" t="s">
        <v>1012</v>
      </c>
      <c r="C11">
        <v>143</v>
      </c>
      <c r="D11" t="s">
        <v>1031</v>
      </c>
      <c r="E11" t="s">
        <v>1034</v>
      </c>
      <c r="F11">
        <v>113</v>
      </c>
      <c r="G11">
        <v>4</v>
      </c>
      <c r="H11">
        <f>ROUND(Calls[[#This Row],[Satisfactory Rating]],0)</f>
        <v>4</v>
      </c>
      <c r="I11" t="str" cm="1">
        <f t="array" ref="I11">_xlfn.IFS(Calls[[#This Row],[Duration (Min)]]&lt;=30,"Under 30 mins",Calls[[#This Row],[Duration (Min)]]&lt;=60,"Under 1h",Calls[[#This Row],[Duration (Min)]]&lt;=120,"Under 2",TRUE,"More than 2h")</f>
        <v>More than 2h</v>
      </c>
      <c r="J11">
        <f>IF(MONTH(Calls[[#This Row],[Date of Call]])&lt;=3,YEAR(Calls[[#This Row],[Date of Call]]),YEAR(Calls[[#This Row],[Date of Call]])+1)</f>
        <v>2025</v>
      </c>
      <c r="K11" t="str">
        <f>TEXT(Calls[[#This Row],[Date of Call]],"dddd")</f>
        <v>Thursday</v>
      </c>
      <c r="L11" t="str">
        <f>TEXT(Calls[[#This Row],[Date of Call]],"mmm")</f>
        <v>Jan</v>
      </c>
      <c r="P11" t="s">
        <v>1025</v>
      </c>
      <c r="Q11" t="s">
        <v>1242</v>
      </c>
      <c r="R11">
        <v>36</v>
      </c>
      <c r="S11" t="s">
        <v>1248</v>
      </c>
    </row>
    <row r="12" spans="1:19" x14ac:dyDescent="0.3">
      <c r="A12" t="s">
        <v>16</v>
      </c>
      <c r="B12" t="s">
        <v>1013</v>
      </c>
      <c r="C12">
        <v>44</v>
      </c>
      <c r="D12" t="s">
        <v>1031</v>
      </c>
      <c r="E12" t="s">
        <v>1035</v>
      </c>
      <c r="F12">
        <v>118</v>
      </c>
      <c r="G12">
        <v>1.7</v>
      </c>
      <c r="H12">
        <f>ROUND(Calls[[#This Row],[Satisfactory Rating]],0)</f>
        <v>2</v>
      </c>
      <c r="I12" t="str" cm="1">
        <f t="array" ref="I12">_xlfn.IFS(Calls[[#This Row],[Duration (Min)]]&lt;=30,"Under 30 mins",Calls[[#This Row],[Duration (Min)]]&lt;=60,"Under 1h",Calls[[#This Row],[Duration (Min)]]&lt;=120,"Under 2",TRUE,"More than 2h")</f>
        <v>Under 1h</v>
      </c>
      <c r="J12">
        <f>IF(MONTH(Calls[[#This Row],[Date of Call]])&lt;=3,YEAR(Calls[[#This Row],[Date of Call]]),YEAR(Calls[[#This Row],[Date of Call]])+1)</f>
        <v>2025</v>
      </c>
      <c r="K12" t="str">
        <f>TEXT(Calls[[#This Row],[Date of Call]],"dddd")</f>
        <v>Friday</v>
      </c>
      <c r="L12" t="str">
        <f>TEXT(Calls[[#This Row],[Date of Call]],"mmm")</f>
        <v>Jan</v>
      </c>
      <c r="P12" t="s">
        <v>1023</v>
      </c>
      <c r="Q12" t="s">
        <v>1241</v>
      </c>
      <c r="R12">
        <v>37</v>
      </c>
      <c r="S12" t="s">
        <v>1246</v>
      </c>
    </row>
    <row r="13" spans="1:19" x14ac:dyDescent="0.3">
      <c r="A13" t="s">
        <v>17</v>
      </c>
      <c r="B13" t="s">
        <v>1014</v>
      </c>
      <c r="C13">
        <v>58</v>
      </c>
      <c r="D13" t="s">
        <v>1030</v>
      </c>
      <c r="E13" t="s">
        <v>1035</v>
      </c>
      <c r="F13">
        <v>70</v>
      </c>
      <c r="G13">
        <v>3.6</v>
      </c>
      <c r="H13">
        <f>ROUND(Calls[[#This Row],[Satisfactory Rating]],0)</f>
        <v>4</v>
      </c>
      <c r="I13" t="str" cm="1">
        <f t="array" ref="I13">_xlfn.IFS(Calls[[#This Row],[Duration (Min)]]&lt;=30,"Under 30 mins",Calls[[#This Row],[Duration (Min)]]&lt;=60,"Under 1h",Calls[[#This Row],[Duration (Min)]]&lt;=120,"Under 2",TRUE,"More than 2h")</f>
        <v>Under 1h</v>
      </c>
      <c r="J13">
        <f>IF(MONTH(Calls[[#This Row],[Date of Call]])&lt;=3,YEAR(Calls[[#This Row],[Date of Call]]),YEAR(Calls[[#This Row],[Date of Call]])+1)</f>
        <v>2025</v>
      </c>
      <c r="K13" t="str">
        <f>TEXT(Calls[[#This Row],[Date of Call]],"dddd")</f>
        <v>Friday</v>
      </c>
      <c r="L13" t="str">
        <f>TEXT(Calls[[#This Row],[Date of Call]],"mmm")</f>
        <v>Jan</v>
      </c>
      <c r="P13" t="s">
        <v>1007</v>
      </c>
      <c r="Q13" t="s">
        <v>1242</v>
      </c>
      <c r="R13">
        <v>41</v>
      </c>
      <c r="S13" t="s">
        <v>1248</v>
      </c>
    </row>
    <row r="14" spans="1:19" x14ac:dyDescent="0.3">
      <c r="A14" t="s">
        <v>18</v>
      </c>
      <c r="B14" t="s">
        <v>1007</v>
      </c>
      <c r="C14">
        <v>73</v>
      </c>
      <c r="D14" t="s">
        <v>1030</v>
      </c>
      <c r="E14" t="s">
        <v>1035</v>
      </c>
      <c r="F14">
        <v>24</v>
      </c>
      <c r="G14">
        <v>4.8</v>
      </c>
      <c r="H14">
        <f>ROUND(Calls[[#This Row],[Satisfactory Rating]],0)</f>
        <v>5</v>
      </c>
      <c r="I14" t="str" cm="1">
        <f t="array" ref="I14">_xlfn.IFS(Calls[[#This Row],[Duration (Min)]]&lt;=30,"Under 30 mins",Calls[[#This Row],[Duration (Min)]]&lt;=60,"Under 1h",Calls[[#This Row],[Duration (Min)]]&lt;=120,"Under 2",TRUE,"More than 2h")</f>
        <v>Under 2</v>
      </c>
      <c r="J14">
        <f>IF(MONTH(Calls[[#This Row],[Date of Call]])&lt;=3,YEAR(Calls[[#This Row],[Date of Call]]),YEAR(Calls[[#This Row],[Date of Call]])+1)</f>
        <v>2025</v>
      </c>
      <c r="K14" t="str">
        <f>TEXT(Calls[[#This Row],[Date of Call]],"dddd")</f>
        <v>Friday</v>
      </c>
      <c r="L14" t="str">
        <f>TEXT(Calls[[#This Row],[Date of Call]],"mmm")</f>
        <v>Jan</v>
      </c>
      <c r="P14" t="s">
        <v>1014</v>
      </c>
      <c r="Q14" t="s">
        <v>1241</v>
      </c>
      <c r="R14">
        <v>43</v>
      </c>
      <c r="S14" t="s">
        <v>1247</v>
      </c>
    </row>
    <row r="15" spans="1:19" x14ac:dyDescent="0.3">
      <c r="A15" t="s">
        <v>19</v>
      </c>
      <c r="B15" t="s">
        <v>1008</v>
      </c>
      <c r="C15">
        <v>102</v>
      </c>
      <c r="D15" t="s">
        <v>1028</v>
      </c>
      <c r="E15" t="s">
        <v>1035</v>
      </c>
      <c r="F15">
        <v>45</v>
      </c>
      <c r="G15">
        <v>1.9</v>
      </c>
      <c r="H15">
        <f>ROUND(Calls[[#This Row],[Satisfactory Rating]],0)</f>
        <v>2</v>
      </c>
      <c r="I15" t="str" cm="1">
        <f t="array" ref="I15">_xlfn.IFS(Calls[[#This Row],[Duration (Min)]]&lt;=30,"Under 30 mins",Calls[[#This Row],[Duration (Min)]]&lt;=60,"Under 1h",Calls[[#This Row],[Duration (Min)]]&lt;=120,"Under 2",TRUE,"More than 2h")</f>
        <v>Under 2</v>
      </c>
      <c r="J15">
        <f>IF(MONTH(Calls[[#This Row],[Date of Call]])&lt;=3,YEAR(Calls[[#This Row],[Date of Call]]),YEAR(Calls[[#This Row],[Date of Call]])+1)</f>
        <v>2025</v>
      </c>
      <c r="K15" t="str">
        <f>TEXT(Calls[[#This Row],[Date of Call]],"dddd")</f>
        <v>Friday</v>
      </c>
      <c r="L15" t="str">
        <f>TEXT(Calls[[#This Row],[Date of Call]],"mmm")</f>
        <v>Jan</v>
      </c>
      <c r="P15" t="s">
        <v>1012</v>
      </c>
      <c r="Q15" t="s">
        <v>1241</v>
      </c>
      <c r="R15">
        <v>69</v>
      </c>
      <c r="S15" t="s">
        <v>1245</v>
      </c>
    </row>
    <row r="16" spans="1:19" x14ac:dyDescent="0.3">
      <c r="A16" t="s">
        <v>20</v>
      </c>
      <c r="B16" t="s">
        <v>1010</v>
      </c>
      <c r="C16">
        <v>139</v>
      </c>
      <c r="D16" t="s">
        <v>1029</v>
      </c>
      <c r="E16" t="s">
        <v>1035</v>
      </c>
      <c r="F16">
        <v>80</v>
      </c>
      <c r="G16">
        <v>4.9000000000000004</v>
      </c>
      <c r="H16">
        <f>ROUND(Calls[[#This Row],[Satisfactory Rating]],0)</f>
        <v>5</v>
      </c>
      <c r="I16" t="str" cm="1">
        <f t="array" ref="I16">_xlfn.IFS(Calls[[#This Row],[Duration (Min)]]&lt;=30,"Under 30 mins",Calls[[#This Row],[Duration (Min)]]&lt;=60,"Under 1h",Calls[[#This Row],[Duration (Min)]]&lt;=120,"Under 2",TRUE,"More than 2h")</f>
        <v>More than 2h</v>
      </c>
      <c r="J16">
        <f>IF(MONTH(Calls[[#This Row],[Date of Call]])&lt;=3,YEAR(Calls[[#This Row],[Date of Call]]),YEAR(Calls[[#This Row],[Date of Call]])+1)</f>
        <v>2025</v>
      </c>
      <c r="K16" t="str">
        <f>TEXT(Calls[[#This Row],[Date of Call]],"dddd")</f>
        <v>Friday</v>
      </c>
      <c r="L16" t="str">
        <f>TEXT(Calls[[#This Row],[Date of Call]],"mmm")</f>
        <v>Jan</v>
      </c>
      <c r="P16" t="s">
        <v>1021</v>
      </c>
      <c r="Q16" t="s">
        <v>1242</v>
      </c>
      <c r="R16">
        <v>22</v>
      </c>
      <c r="S16" t="s">
        <v>1246</v>
      </c>
    </row>
    <row r="17" spans="1:19" x14ac:dyDescent="0.3">
      <c r="A17" t="s">
        <v>21</v>
      </c>
      <c r="B17" t="s">
        <v>1015</v>
      </c>
      <c r="C17">
        <v>47</v>
      </c>
      <c r="D17" t="s">
        <v>1031</v>
      </c>
      <c r="E17" t="s">
        <v>1036</v>
      </c>
      <c r="F17">
        <v>133</v>
      </c>
      <c r="G17">
        <v>3.3</v>
      </c>
      <c r="H17">
        <f>ROUND(Calls[[#This Row],[Satisfactory Rating]],0)</f>
        <v>3</v>
      </c>
      <c r="I17" t="str" cm="1">
        <f t="array" ref="I17">_xlfn.IFS(Calls[[#This Row],[Duration (Min)]]&lt;=30,"Under 30 mins",Calls[[#This Row],[Duration (Min)]]&lt;=60,"Under 1h",Calls[[#This Row],[Duration (Min)]]&lt;=120,"Under 2",TRUE,"More than 2h")</f>
        <v>Under 1h</v>
      </c>
      <c r="J17">
        <f>IF(MONTH(Calls[[#This Row],[Date of Call]])&lt;=3,YEAR(Calls[[#This Row],[Date of Call]]),YEAR(Calls[[#This Row],[Date of Call]])+1)</f>
        <v>2025</v>
      </c>
      <c r="K17" t="str">
        <f>TEXT(Calls[[#This Row],[Date of Call]],"dddd")</f>
        <v>Saturday</v>
      </c>
      <c r="L17" t="str">
        <f>TEXT(Calls[[#This Row],[Date of Call]],"mmm")</f>
        <v>Jan</v>
      </c>
      <c r="P17" t="s">
        <v>1015</v>
      </c>
      <c r="Q17" t="s">
        <v>1241</v>
      </c>
      <c r="R17">
        <v>21</v>
      </c>
      <c r="S17" t="s">
        <v>1247</v>
      </c>
    </row>
    <row r="18" spans="1:19" x14ac:dyDescent="0.3">
      <c r="A18" t="s">
        <v>22</v>
      </c>
      <c r="B18" t="s">
        <v>1016</v>
      </c>
      <c r="C18">
        <v>62</v>
      </c>
      <c r="D18" t="s">
        <v>1032</v>
      </c>
      <c r="E18" t="s">
        <v>1036</v>
      </c>
      <c r="F18">
        <v>84</v>
      </c>
      <c r="G18">
        <v>1.4</v>
      </c>
      <c r="H18">
        <f>ROUND(Calls[[#This Row],[Satisfactory Rating]],0)</f>
        <v>1</v>
      </c>
      <c r="I18" t="str" cm="1">
        <f t="array" ref="I18">_xlfn.IFS(Calls[[#This Row],[Duration (Min)]]&lt;=30,"Under 30 mins",Calls[[#This Row],[Duration (Min)]]&lt;=60,"Under 1h",Calls[[#This Row],[Duration (Min)]]&lt;=120,"Under 2",TRUE,"More than 2h")</f>
        <v>Under 2</v>
      </c>
      <c r="J18">
        <f>IF(MONTH(Calls[[#This Row],[Date of Call]])&lt;=3,YEAR(Calls[[#This Row],[Date of Call]]),YEAR(Calls[[#This Row],[Date of Call]])+1)</f>
        <v>2025</v>
      </c>
      <c r="K18" t="str">
        <f>TEXT(Calls[[#This Row],[Date of Call]],"dddd")</f>
        <v>Saturday</v>
      </c>
      <c r="L18" t="str">
        <f>TEXT(Calls[[#This Row],[Date of Call]],"mmm")</f>
        <v>Jan</v>
      </c>
      <c r="P18" t="s">
        <v>1011</v>
      </c>
      <c r="Q18" t="s">
        <v>1241</v>
      </c>
      <c r="R18">
        <v>29</v>
      </c>
      <c r="S18" t="s">
        <v>1246</v>
      </c>
    </row>
    <row r="19" spans="1:19" x14ac:dyDescent="0.3">
      <c r="A19" t="s">
        <v>23</v>
      </c>
      <c r="B19" t="s">
        <v>1014</v>
      </c>
      <c r="C19">
        <v>145</v>
      </c>
      <c r="D19" t="s">
        <v>1030</v>
      </c>
      <c r="E19" t="s">
        <v>1036</v>
      </c>
      <c r="F19">
        <v>100</v>
      </c>
      <c r="G19">
        <v>2.6</v>
      </c>
      <c r="H19">
        <f>ROUND(Calls[[#This Row],[Satisfactory Rating]],0)</f>
        <v>3</v>
      </c>
      <c r="I19" t="str" cm="1">
        <f t="array" ref="I19">_xlfn.IFS(Calls[[#This Row],[Duration (Min)]]&lt;=30,"Under 30 mins",Calls[[#This Row],[Duration (Min)]]&lt;=60,"Under 1h",Calls[[#This Row],[Duration (Min)]]&lt;=120,"Under 2",TRUE,"More than 2h")</f>
        <v>More than 2h</v>
      </c>
      <c r="J19">
        <f>IF(MONTH(Calls[[#This Row],[Date of Call]])&lt;=3,YEAR(Calls[[#This Row],[Date of Call]]),YEAR(Calls[[#This Row],[Date of Call]])+1)</f>
        <v>2025</v>
      </c>
      <c r="K19" t="str">
        <f>TEXT(Calls[[#This Row],[Date of Call]],"dddd")</f>
        <v>Saturday</v>
      </c>
      <c r="L19" t="str">
        <f>TEXT(Calls[[#This Row],[Date of Call]],"mmm")</f>
        <v>Jan</v>
      </c>
      <c r="P19" t="s">
        <v>1006</v>
      </c>
      <c r="Q19" t="s">
        <v>1242</v>
      </c>
      <c r="R19">
        <v>35</v>
      </c>
      <c r="S19" t="s">
        <v>1248</v>
      </c>
    </row>
    <row r="20" spans="1:19" x14ac:dyDescent="0.3">
      <c r="A20" t="s">
        <v>24</v>
      </c>
      <c r="B20" t="s">
        <v>1011</v>
      </c>
      <c r="C20">
        <v>21</v>
      </c>
      <c r="D20" t="s">
        <v>1030</v>
      </c>
      <c r="E20" t="s">
        <v>1036</v>
      </c>
      <c r="F20">
        <v>59</v>
      </c>
      <c r="G20">
        <v>2.4</v>
      </c>
      <c r="H20">
        <f>ROUND(Calls[[#This Row],[Satisfactory Rating]],0)</f>
        <v>2</v>
      </c>
      <c r="I20" t="str" cm="1">
        <f t="array" ref="I20">_xlfn.IFS(Calls[[#This Row],[Duration (Min)]]&lt;=30,"Under 30 mins",Calls[[#This Row],[Duration (Min)]]&lt;=60,"Under 1h",Calls[[#This Row],[Duration (Min)]]&lt;=120,"Under 2",TRUE,"More than 2h")</f>
        <v>Under 30 mins</v>
      </c>
      <c r="J20">
        <f>IF(MONTH(Calls[[#This Row],[Date of Call]])&lt;=3,YEAR(Calls[[#This Row],[Date of Call]]),YEAR(Calls[[#This Row],[Date of Call]])+1)</f>
        <v>2025</v>
      </c>
      <c r="K20" t="str">
        <f>TEXT(Calls[[#This Row],[Date of Call]],"dddd")</f>
        <v>Saturday</v>
      </c>
      <c r="L20" t="str">
        <f>TEXT(Calls[[#This Row],[Date of Call]],"mmm")</f>
        <v>Jan</v>
      </c>
      <c r="P20" t="s">
        <v>1010</v>
      </c>
      <c r="Q20" t="s">
        <v>1242</v>
      </c>
      <c r="R20">
        <v>44</v>
      </c>
      <c r="S20" t="s">
        <v>1245</v>
      </c>
    </row>
    <row r="21" spans="1:19" x14ac:dyDescent="0.3">
      <c r="A21" t="s">
        <v>25</v>
      </c>
      <c r="B21" t="s">
        <v>1006</v>
      </c>
      <c r="C21">
        <v>144</v>
      </c>
      <c r="D21" t="s">
        <v>1029</v>
      </c>
      <c r="E21" t="s">
        <v>1036</v>
      </c>
      <c r="F21">
        <v>33</v>
      </c>
      <c r="G21">
        <v>3.7</v>
      </c>
      <c r="H21">
        <f>ROUND(Calls[[#This Row],[Satisfactory Rating]],0)</f>
        <v>4</v>
      </c>
      <c r="I21" t="str" cm="1">
        <f t="array" ref="I21">_xlfn.IFS(Calls[[#This Row],[Duration (Min)]]&lt;=30,"Under 30 mins",Calls[[#This Row],[Duration (Min)]]&lt;=60,"Under 1h",Calls[[#This Row],[Duration (Min)]]&lt;=120,"Under 2",TRUE,"More than 2h")</f>
        <v>More than 2h</v>
      </c>
      <c r="J21">
        <f>IF(MONTH(Calls[[#This Row],[Date of Call]])&lt;=3,YEAR(Calls[[#This Row],[Date of Call]]),YEAR(Calls[[#This Row],[Date of Call]])+1)</f>
        <v>2025</v>
      </c>
      <c r="K21" t="str">
        <f>TEXT(Calls[[#This Row],[Date of Call]],"dddd")</f>
        <v>Saturday</v>
      </c>
      <c r="L21" t="str">
        <f>TEXT(Calls[[#This Row],[Date of Call]],"mmm")</f>
        <v>Jan</v>
      </c>
      <c r="P21" t="s">
        <v>1016</v>
      </c>
      <c r="Q21" t="s">
        <v>1241</v>
      </c>
      <c r="R21">
        <v>18</v>
      </c>
      <c r="S21" t="s">
        <v>1245</v>
      </c>
    </row>
    <row r="22" spans="1:19" x14ac:dyDescent="0.3">
      <c r="A22" t="s">
        <v>26</v>
      </c>
      <c r="B22" t="s">
        <v>1017</v>
      </c>
      <c r="C22">
        <v>142</v>
      </c>
      <c r="D22" t="s">
        <v>1027</v>
      </c>
      <c r="E22" t="s">
        <v>1037</v>
      </c>
      <c r="F22">
        <v>27</v>
      </c>
      <c r="G22">
        <v>4.4000000000000004</v>
      </c>
      <c r="H22">
        <f>ROUND(Calls[[#This Row],[Satisfactory Rating]],0)</f>
        <v>4</v>
      </c>
      <c r="I22" t="str" cm="1">
        <f t="array" ref="I22">_xlfn.IFS(Calls[[#This Row],[Duration (Min)]]&lt;=30,"Under 30 mins",Calls[[#This Row],[Duration (Min)]]&lt;=60,"Under 1h",Calls[[#This Row],[Duration (Min)]]&lt;=120,"Under 2",TRUE,"More than 2h")</f>
        <v>More than 2h</v>
      </c>
      <c r="J22">
        <f>IF(MONTH(Calls[[#This Row],[Date of Call]])&lt;=3,YEAR(Calls[[#This Row],[Date of Call]]),YEAR(Calls[[#This Row],[Date of Call]])+1)</f>
        <v>2025</v>
      </c>
      <c r="K22" t="str">
        <f>TEXT(Calls[[#This Row],[Date of Call]],"dddd")</f>
        <v>Sunday</v>
      </c>
      <c r="L22" t="str">
        <f>TEXT(Calls[[#This Row],[Date of Call]],"mmm")</f>
        <v>Jan</v>
      </c>
    </row>
    <row r="23" spans="1:19" x14ac:dyDescent="0.3">
      <c r="A23" t="s">
        <v>27</v>
      </c>
      <c r="B23" t="s">
        <v>1016</v>
      </c>
      <c r="C23">
        <v>20</v>
      </c>
      <c r="D23" t="s">
        <v>1031</v>
      </c>
      <c r="E23" t="s">
        <v>1037</v>
      </c>
      <c r="F23">
        <v>54</v>
      </c>
      <c r="G23">
        <v>3.2</v>
      </c>
      <c r="H23">
        <f>ROUND(Calls[[#This Row],[Satisfactory Rating]],0)</f>
        <v>3</v>
      </c>
      <c r="I23" t="str" cm="1">
        <f t="array" ref="I23">_xlfn.IFS(Calls[[#This Row],[Duration (Min)]]&lt;=30,"Under 30 mins",Calls[[#This Row],[Duration (Min)]]&lt;=60,"Under 1h",Calls[[#This Row],[Duration (Min)]]&lt;=120,"Under 2",TRUE,"More than 2h")</f>
        <v>Under 30 mins</v>
      </c>
      <c r="J23">
        <f>IF(MONTH(Calls[[#This Row],[Date of Call]])&lt;=3,YEAR(Calls[[#This Row],[Date of Call]]),YEAR(Calls[[#This Row],[Date of Call]])+1)</f>
        <v>2025</v>
      </c>
      <c r="K23" t="str">
        <f>TEXT(Calls[[#This Row],[Date of Call]],"dddd")</f>
        <v>Sunday</v>
      </c>
      <c r="L23" t="str">
        <f>TEXT(Calls[[#This Row],[Date of Call]],"mmm")</f>
        <v>Jan</v>
      </c>
    </row>
    <row r="24" spans="1:19" x14ac:dyDescent="0.3">
      <c r="A24" t="s">
        <v>28</v>
      </c>
      <c r="B24" t="s">
        <v>1014</v>
      </c>
      <c r="C24">
        <v>110</v>
      </c>
      <c r="D24" t="s">
        <v>1032</v>
      </c>
      <c r="E24" t="s">
        <v>1037</v>
      </c>
      <c r="F24">
        <v>120</v>
      </c>
      <c r="G24">
        <v>4.7</v>
      </c>
      <c r="H24">
        <f>ROUND(Calls[[#This Row],[Satisfactory Rating]],0)</f>
        <v>5</v>
      </c>
      <c r="I24" t="str" cm="1">
        <f t="array" ref="I24">_xlfn.IFS(Calls[[#This Row],[Duration (Min)]]&lt;=30,"Under 30 mins",Calls[[#This Row],[Duration (Min)]]&lt;=60,"Under 1h",Calls[[#This Row],[Duration (Min)]]&lt;=120,"Under 2",TRUE,"More than 2h")</f>
        <v>Under 2</v>
      </c>
      <c r="J24">
        <f>IF(MONTH(Calls[[#This Row],[Date of Call]])&lt;=3,YEAR(Calls[[#This Row],[Date of Call]]),YEAR(Calls[[#This Row],[Date of Call]])+1)</f>
        <v>2025</v>
      </c>
      <c r="K24" t="str">
        <f>TEXT(Calls[[#This Row],[Date of Call]],"dddd")</f>
        <v>Sunday</v>
      </c>
      <c r="L24" t="str">
        <f>TEXT(Calls[[#This Row],[Date of Call]],"mmm")</f>
        <v>Jan</v>
      </c>
    </row>
    <row r="25" spans="1:19" x14ac:dyDescent="0.3">
      <c r="A25" t="s">
        <v>29</v>
      </c>
      <c r="B25" t="s">
        <v>1006</v>
      </c>
      <c r="C25">
        <v>27</v>
      </c>
      <c r="D25" t="s">
        <v>1028</v>
      </c>
      <c r="E25" t="s">
        <v>1037</v>
      </c>
      <c r="F25">
        <v>114</v>
      </c>
      <c r="G25">
        <v>3.2</v>
      </c>
      <c r="H25">
        <f>ROUND(Calls[[#This Row],[Satisfactory Rating]],0)</f>
        <v>3</v>
      </c>
      <c r="I25" t="str" cm="1">
        <f t="array" ref="I25">_xlfn.IFS(Calls[[#This Row],[Duration (Min)]]&lt;=30,"Under 30 mins",Calls[[#This Row],[Duration (Min)]]&lt;=60,"Under 1h",Calls[[#This Row],[Duration (Min)]]&lt;=120,"Under 2",TRUE,"More than 2h")</f>
        <v>Under 30 mins</v>
      </c>
      <c r="J25">
        <f>IF(MONTH(Calls[[#This Row],[Date of Call]])&lt;=3,YEAR(Calls[[#This Row],[Date of Call]]),YEAR(Calls[[#This Row],[Date of Call]])+1)</f>
        <v>2025</v>
      </c>
      <c r="K25" t="str">
        <f>TEXT(Calls[[#This Row],[Date of Call]],"dddd")</f>
        <v>Sunday</v>
      </c>
      <c r="L25" t="str">
        <f>TEXT(Calls[[#This Row],[Date of Call]],"mmm")</f>
        <v>Jan</v>
      </c>
    </row>
    <row r="26" spans="1:19" x14ac:dyDescent="0.3">
      <c r="A26" t="s">
        <v>30</v>
      </c>
      <c r="B26" t="s">
        <v>1018</v>
      </c>
      <c r="C26">
        <v>16</v>
      </c>
      <c r="D26" t="s">
        <v>1031</v>
      </c>
      <c r="E26" t="s">
        <v>1037</v>
      </c>
      <c r="F26">
        <v>149</v>
      </c>
      <c r="G26">
        <v>1.9</v>
      </c>
      <c r="H26">
        <f>ROUND(Calls[[#This Row],[Satisfactory Rating]],0)</f>
        <v>2</v>
      </c>
      <c r="I26" t="str" cm="1">
        <f t="array" ref="I26">_xlfn.IFS(Calls[[#This Row],[Duration (Min)]]&lt;=30,"Under 30 mins",Calls[[#This Row],[Duration (Min)]]&lt;=60,"Under 1h",Calls[[#This Row],[Duration (Min)]]&lt;=120,"Under 2",TRUE,"More than 2h")</f>
        <v>Under 30 mins</v>
      </c>
      <c r="J26">
        <f>IF(MONTH(Calls[[#This Row],[Date of Call]])&lt;=3,YEAR(Calls[[#This Row],[Date of Call]]),YEAR(Calls[[#This Row],[Date of Call]])+1)</f>
        <v>2025</v>
      </c>
      <c r="K26" t="str">
        <f>TEXT(Calls[[#This Row],[Date of Call]],"dddd")</f>
        <v>Sunday</v>
      </c>
      <c r="L26" t="str">
        <f>TEXT(Calls[[#This Row],[Date of Call]],"mmm")</f>
        <v>Jan</v>
      </c>
    </row>
    <row r="27" spans="1:19" x14ac:dyDescent="0.3">
      <c r="A27" t="s">
        <v>31</v>
      </c>
      <c r="B27" t="s">
        <v>1008</v>
      </c>
      <c r="C27">
        <v>120</v>
      </c>
      <c r="D27" t="s">
        <v>1026</v>
      </c>
      <c r="E27" t="s">
        <v>1038</v>
      </c>
      <c r="F27">
        <v>25</v>
      </c>
      <c r="G27">
        <v>2.4</v>
      </c>
      <c r="H27">
        <f>ROUND(Calls[[#This Row],[Satisfactory Rating]],0)</f>
        <v>2</v>
      </c>
      <c r="I27" t="str" cm="1">
        <f t="array" ref="I27">_xlfn.IFS(Calls[[#This Row],[Duration (Min)]]&lt;=30,"Under 30 mins",Calls[[#This Row],[Duration (Min)]]&lt;=60,"Under 1h",Calls[[#This Row],[Duration (Min)]]&lt;=120,"Under 2",TRUE,"More than 2h")</f>
        <v>Under 2</v>
      </c>
      <c r="J27">
        <f>IF(MONTH(Calls[[#This Row],[Date of Call]])&lt;=3,YEAR(Calls[[#This Row],[Date of Call]]),YEAR(Calls[[#This Row],[Date of Call]])+1)</f>
        <v>2025</v>
      </c>
      <c r="K27" t="str">
        <f>TEXT(Calls[[#This Row],[Date of Call]],"dddd")</f>
        <v>Monday</v>
      </c>
      <c r="L27" t="str">
        <f>TEXT(Calls[[#This Row],[Date of Call]],"mmm")</f>
        <v>Jan</v>
      </c>
    </row>
    <row r="28" spans="1:19" x14ac:dyDescent="0.3">
      <c r="A28" t="s">
        <v>32</v>
      </c>
      <c r="B28" t="s">
        <v>1014</v>
      </c>
      <c r="C28">
        <v>19</v>
      </c>
      <c r="D28" t="s">
        <v>1031</v>
      </c>
      <c r="E28" t="s">
        <v>1038</v>
      </c>
      <c r="F28">
        <v>59</v>
      </c>
      <c r="G28">
        <v>1.6</v>
      </c>
      <c r="H28">
        <f>ROUND(Calls[[#This Row],[Satisfactory Rating]],0)</f>
        <v>2</v>
      </c>
      <c r="I28" t="str" cm="1">
        <f t="array" ref="I28">_xlfn.IFS(Calls[[#This Row],[Duration (Min)]]&lt;=30,"Under 30 mins",Calls[[#This Row],[Duration (Min)]]&lt;=60,"Under 1h",Calls[[#This Row],[Duration (Min)]]&lt;=120,"Under 2",TRUE,"More than 2h")</f>
        <v>Under 30 mins</v>
      </c>
      <c r="J28">
        <f>IF(MONTH(Calls[[#This Row],[Date of Call]])&lt;=3,YEAR(Calls[[#This Row],[Date of Call]]),YEAR(Calls[[#This Row],[Date of Call]])+1)</f>
        <v>2025</v>
      </c>
      <c r="K28" t="str">
        <f>TEXT(Calls[[#This Row],[Date of Call]],"dddd")</f>
        <v>Monday</v>
      </c>
      <c r="L28" t="str">
        <f>TEXT(Calls[[#This Row],[Date of Call]],"mmm")</f>
        <v>Jan</v>
      </c>
    </row>
    <row r="29" spans="1:19" x14ac:dyDescent="0.3">
      <c r="A29" t="s">
        <v>33</v>
      </c>
      <c r="B29" t="s">
        <v>1017</v>
      </c>
      <c r="C29">
        <v>11</v>
      </c>
      <c r="D29" t="s">
        <v>1027</v>
      </c>
      <c r="E29" t="s">
        <v>1038</v>
      </c>
      <c r="F29">
        <v>90</v>
      </c>
      <c r="G29">
        <v>3.6</v>
      </c>
      <c r="H29">
        <f>ROUND(Calls[[#This Row],[Satisfactory Rating]],0)</f>
        <v>4</v>
      </c>
      <c r="I29" t="str" cm="1">
        <f t="array" ref="I29">_xlfn.IFS(Calls[[#This Row],[Duration (Min)]]&lt;=30,"Under 30 mins",Calls[[#This Row],[Duration (Min)]]&lt;=60,"Under 1h",Calls[[#This Row],[Duration (Min)]]&lt;=120,"Under 2",TRUE,"More than 2h")</f>
        <v>Under 30 mins</v>
      </c>
      <c r="J29">
        <f>IF(MONTH(Calls[[#This Row],[Date of Call]])&lt;=3,YEAR(Calls[[#This Row],[Date of Call]]),YEAR(Calls[[#This Row],[Date of Call]])+1)</f>
        <v>2025</v>
      </c>
      <c r="K29" t="str">
        <f>TEXT(Calls[[#This Row],[Date of Call]],"dddd")</f>
        <v>Monday</v>
      </c>
      <c r="L29" t="str">
        <f>TEXT(Calls[[#This Row],[Date of Call]],"mmm")</f>
        <v>Jan</v>
      </c>
    </row>
    <row r="30" spans="1:19" x14ac:dyDescent="0.3">
      <c r="A30" t="s">
        <v>34</v>
      </c>
      <c r="B30" t="s">
        <v>1012</v>
      </c>
      <c r="C30">
        <v>85</v>
      </c>
      <c r="D30" t="s">
        <v>1029</v>
      </c>
      <c r="E30" t="s">
        <v>1038</v>
      </c>
      <c r="F30">
        <v>77</v>
      </c>
      <c r="G30">
        <v>3.7</v>
      </c>
      <c r="H30">
        <f>ROUND(Calls[[#This Row],[Satisfactory Rating]],0)</f>
        <v>4</v>
      </c>
      <c r="I30" t="str" cm="1">
        <f t="array" ref="I30">_xlfn.IFS(Calls[[#This Row],[Duration (Min)]]&lt;=30,"Under 30 mins",Calls[[#This Row],[Duration (Min)]]&lt;=60,"Under 1h",Calls[[#This Row],[Duration (Min)]]&lt;=120,"Under 2",TRUE,"More than 2h")</f>
        <v>Under 2</v>
      </c>
      <c r="J30">
        <f>IF(MONTH(Calls[[#This Row],[Date of Call]])&lt;=3,YEAR(Calls[[#This Row],[Date of Call]]),YEAR(Calls[[#This Row],[Date of Call]])+1)</f>
        <v>2025</v>
      </c>
      <c r="K30" t="str">
        <f>TEXT(Calls[[#This Row],[Date of Call]],"dddd")</f>
        <v>Monday</v>
      </c>
      <c r="L30" t="str">
        <f>TEXT(Calls[[#This Row],[Date of Call]],"mmm")</f>
        <v>Jan</v>
      </c>
    </row>
    <row r="31" spans="1:19" x14ac:dyDescent="0.3">
      <c r="A31" t="s">
        <v>35</v>
      </c>
      <c r="B31" t="s">
        <v>1006</v>
      </c>
      <c r="C31">
        <v>19</v>
      </c>
      <c r="D31" t="s">
        <v>1028</v>
      </c>
      <c r="E31" t="s">
        <v>1038</v>
      </c>
      <c r="F31">
        <v>96</v>
      </c>
      <c r="G31">
        <v>4.7</v>
      </c>
      <c r="H31">
        <f>ROUND(Calls[[#This Row],[Satisfactory Rating]],0)</f>
        <v>5</v>
      </c>
      <c r="I31" t="str" cm="1">
        <f t="array" ref="I31">_xlfn.IFS(Calls[[#This Row],[Duration (Min)]]&lt;=30,"Under 30 mins",Calls[[#This Row],[Duration (Min)]]&lt;=60,"Under 1h",Calls[[#This Row],[Duration (Min)]]&lt;=120,"Under 2",TRUE,"More than 2h")</f>
        <v>Under 30 mins</v>
      </c>
      <c r="J31">
        <f>IF(MONTH(Calls[[#This Row],[Date of Call]])&lt;=3,YEAR(Calls[[#This Row],[Date of Call]]),YEAR(Calls[[#This Row],[Date of Call]])+1)</f>
        <v>2025</v>
      </c>
      <c r="K31" t="str">
        <f>TEXT(Calls[[#This Row],[Date of Call]],"dddd")</f>
        <v>Monday</v>
      </c>
      <c r="L31" t="str">
        <f>TEXT(Calls[[#This Row],[Date of Call]],"mmm")</f>
        <v>Jan</v>
      </c>
    </row>
    <row r="32" spans="1:19" x14ac:dyDescent="0.3">
      <c r="A32" t="s">
        <v>36</v>
      </c>
      <c r="B32" t="s">
        <v>1019</v>
      </c>
      <c r="C32">
        <v>72</v>
      </c>
      <c r="D32" t="s">
        <v>1031</v>
      </c>
      <c r="E32" t="s">
        <v>1039</v>
      </c>
      <c r="F32">
        <v>66</v>
      </c>
      <c r="G32">
        <v>3.4</v>
      </c>
      <c r="H32">
        <f>ROUND(Calls[[#This Row],[Satisfactory Rating]],0)</f>
        <v>3</v>
      </c>
      <c r="I32" t="str" cm="1">
        <f t="array" ref="I32">_xlfn.IFS(Calls[[#This Row],[Duration (Min)]]&lt;=30,"Under 30 mins",Calls[[#This Row],[Duration (Min)]]&lt;=60,"Under 1h",Calls[[#This Row],[Duration (Min)]]&lt;=120,"Under 2",TRUE,"More than 2h")</f>
        <v>Under 2</v>
      </c>
      <c r="J32">
        <f>IF(MONTH(Calls[[#This Row],[Date of Call]])&lt;=3,YEAR(Calls[[#This Row],[Date of Call]]),YEAR(Calls[[#This Row],[Date of Call]])+1)</f>
        <v>2025</v>
      </c>
      <c r="K32" t="str">
        <f>TEXT(Calls[[#This Row],[Date of Call]],"dddd")</f>
        <v>Tuesday</v>
      </c>
      <c r="L32" t="str">
        <f>TEXT(Calls[[#This Row],[Date of Call]],"mmm")</f>
        <v>Jan</v>
      </c>
    </row>
    <row r="33" spans="1:12" x14ac:dyDescent="0.3">
      <c r="A33" t="s">
        <v>37</v>
      </c>
      <c r="B33" t="s">
        <v>1020</v>
      </c>
      <c r="C33">
        <v>138</v>
      </c>
      <c r="D33" t="s">
        <v>1027</v>
      </c>
      <c r="E33" t="s">
        <v>1039</v>
      </c>
      <c r="F33">
        <v>70</v>
      </c>
      <c r="G33">
        <v>3.7</v>
      </c>
      <c r="H33">
        <f>ROUND(Calls[[#This Row],[Satisfactory Rating]],0)</f>
        <v>4</v>
      </c>
      <c r="I33" t="str" cm="1">
        <f t="array" ref="I33">_xlfn.IFS(Calls[[#This Row],[Duration (Min)]]&lt;=30,"Under 30 mins",Calls[[#This Row],[Duration (Min)]]&lt;=60,"Under 1h",Calls[[#This Row],[Duration (Min)]]&lt;=120,"Under 2",TRUE,"More than 2h")</f>
        <v>More than 2h</v>
      </c>
      <c r="J33">
        <f>IF(MONTH(Calls[[#This Row],[Date of Call]])&lt;=3,YEAR(Calls[[#This Row],[Date of Call]]),YEAR(Calls[[#This Row],[Date of Call]])+1)</f>
        <v>2025</v>
      </c>
      <c r="K33" t="str">
        <f>TEXT(Calls[[#This Row],[Date of Call]],"dddd")</f>
        <v>Tuesday</v>
      </c>
      <c r="L33" t="str">
        <f>TEXT(Calls[[#This Row],[Date of Call]],"mmm")</f>
        <v>Jan</v>
      </c>
    </row>
    <row r="34" spans="1:12" x14ac:dyDescent="0.3">
      <c r="A34" t="s">
        <v>38</v>
      </c>
      <c r="B34" t="s">
        <v>1006</v>
      </c>
      <c r="C34">
        <v>155</v>
      </c>
      <c r="D34" t="s">
        <v>1028</v>
      </c>
      <c r="E34" t="s">
        <v>1039</v>
      </c>
      <c r="F34">
        <v>138</v>
      </c>
      <c r="G34">
        <v>3.3</v>
      </c>
      <c r="H34">
        <f>ROUND(Calls[[#This Row],[Satisfactory Rating]],0)</f>
        <v>3</v>
      </c>
      <c r="I34" t="str" cm="1">
        <f t="array" ref="I34">_xlfn.IFS(Calls[[#This Row],[Duration (Min)]]&lt;=30,"Under 30 mins",Calls[[#This Row],[Duration (Min)]]&lt;=60,"Under 1h",Calls[[#This Row],[Duration (Min)]]&lt;=120,"Under 2",TRUE,"More than 2h")</f>
        <v>More than 2h</v>
      </c>
      <c r="J34">
        <f>IF(MONTH(Calls[[#This Row],[Date of Call]])&lt;=3,YEAR(Calls[[#This Row],[Date of Call]]),YEAR(Calls[[#This Row],[Date of Call]])+1)</f>
        <v>2025</v>
      </c>
      <c r="K34" t="str">
        <f>TEXT(Calls[[#This Row],[Date of Call]],"dddd")</f>
        <v>Tuesday</v>
      </c>
      <c r="L34" t="str">
        <f>TEXT(Calls[[#This Row],[Date of Call]],"mmm")</f>
        <v>Jan</v>
      </c>
    </row>
    <row r="35" spans="1:12" x14ac:dyDescent="0.3">
      <c r="A35" t="s">
        <v>39</v>
      </c>
      <c r="B35" t="s">
        <v>1012</v>
      </c>
      <c r="C35">
        <v>142</v>
      </c>
      <c r="D35" t="s">
        <v>1026</v>
      </c>
      <c r="E35" t="s">
        <v>1039</v>
      </c>
      <c r="F35">
        <v>36</v>
      </c>
      <c r="G35">
        <v>1.3</v>
      </c>
      <c r="H35">
        <f>ROUND(Calls[[#This Row],[Satisfactory Rating]],0)</f>
        <v>1</v>
      </c>
      <c r="I35" t="str" cm="1">
        <f t="array" ref="I35">_xlfn.IFS(Calls[[#This Row],[Duration (Min)]]&lt;=30,"Under 30 mins",Calls[[#This Row],[Duration (Min)]]&lt;=60,"Under 1h",Calls[[#This Row],[Duration (Min)]]&lt;=120,"Under 2",TRUE,"More than 2h")</f>
        <v>More than 2h</v>
      </c>
      <c r="J35">
        <f>IF(MONTH(Calls[[#This Row],[Date of Call]])&lt;=3,YEAR(Calls[[#This Row],[Date of Call]]),YEAR(Calls[[#This Row],[Date of Call]])+1)</f>
        <v>2025</v>
      </c>
      <c r="K35" t="str">
        <f>TEXT(Calls[[#This Row],[Date of Call]],"dddd")</f>
        <v>Tuesday</v>
      </c>
      <c r="L35" t="str">
        <f>TEXT(Calls[[#This Row],[Date of Call]],"mmm")</f>
        <v>Jan</v>
      </c>
    </row>
    <row r="36" spans="1:12" x14ac:dyDescent="0.3">
      <c r="A36" t="s">
        <v>40</v>
      </c>
      <c r="B36" t="s">
        <v>1007</v>
      </c>
      <c r="C36">
        <v>155</v>
      </c>
      <c r="D36" t="s">
        <v>1026</v>
      </c>
      <c r="E36" t="s">
        <v>1039</v>
      </c>
      <c r="F36">
        <v>89</v>
      </c>
      <c r="G36">
        <v>4.9000000000000004</v>
      </c>
      <c r="H36">
        <f>ROUND(Calls[[#This Row],[Satisfactory Rating]],0)</f>
        <v>5</v>
      </c>
      <c r="I36" t="str" cm="1">
        <f t="array" ref="I36">_xlfn.IFS(Calls[[#This Row],[Duration (Min)]]&lt;=30,"Under 30 mins",Calls[[#This Row],[Duration (Min)]]&lt;=60,"Under 1h",Calls[[#This Row],[Duration (Min)]]&lt;=120,"Under 2",TRUE,"More than 2h")</f>
        <v>More than 2h</v>
      </c>
      <c r="J36">
        <f>IF(MONTH(Calls[[#This Row],[Date of Call]])&lt;=3,YEAR(Calls[[#This Row],[Date of Call]]),YEAR(Calls[[#This Row],[Date of Call]])+1)</f>
        <v>2025</v>
      </c>
      <c r="K36" t="str">
        <f>TEXT(Calls[[#This Row],[Date of Call]],"dddd")</f>
        <v>Tuesday</v>
      </c>
      <c r="L36" t="str">
        <f>TEXT(Calls[[#This Row],[Date of Call]],"mmm")</f>
        <v>Jan</v>
      </c>
    </row>
    <row r="37" spans="1:12" x14ac:dyDescent="0.3">
      <c r="A37" t="s">
        <v>41</v>
      </c>
      <c r="B37" t="s">
        <v>1021</v>
      </c>
      <c r="C37">
        <v>141</v>
      </c>
      <c r="D37" t="s">
        <v>1026</v>
      </c>
      <c r="E37" t="s">
        <v>1040</v>
      </c>
      <c r="F37">
        <v>109</v>
      </c>
      <c r="G37">
        <v>3.8</v>
      </c>
      <c r="H37">
        <f>ROUND(Calls[[#This Row],[Satisfactory Rating]],0)</f>
        <v>4</v>
      </c>
      <c r="I37" t="str" cm="1">
        <f t="array" ref="I37">_xlfn.IFS(Calls[[#This Row],[Duration (Min)]]&lt;=30,"Under 30 mins",Calls[[#This Row],[Duration (Min)]]&lt;=60,"Under 1h",Calls[[#This Row],[Duration (Min)]]&lt;=120,"Under 2",TRUE,"More than 2h")</f>
        <v>More than 2h</v>
      </c>
      <c r="J37">
        <f>IF(MONTH(Calls[[#This Row],[Date of Call]])&lt;=3,YEAR(Calls[[#This Row],[Date of Call]]),YEAR(Calls[[#This Row],[Date of Call]])+1)</f>
        <v>2025</v>
      </c>
      <c r="K37" t="str">
        <f>TEXT(Calls[[#This Row],[Date of Call]],"dddd")</f>
        <v>Wednesday</v>
      </c>
      <c r="L37" t="str">
        <f>TEXT(Calls[[#This Row],[Date of Call]],"mmm")</f>
        <v>Jan</v>
      </c>
    </row>
    <row r="38" spans="1:12" x14ac:dyDescent="0.3">
      <c r="A38" t="s">
        <v>42</v>
      </c>
      <c r="B38" t="s">
        <v>1008</v>
      </c>
      <c r="C38">
        <v>52</v>
      </c>
      <c r="D38" t="s">
        <v>1030</v>
      </c>
      <c r="E38" t="s">
        <v>1040</v>
      </c>
      <c r="F38">
        <v>102</v>
      </c>
      <c r="G38">
        <v>3.1</v>
      </c>
      <c r="H38">
        <f>ROUND(Calls[[#This Row],[Satisfactory Rating]],0)</f>
        <v>3</v>
      </c>
      <c r="I38" t="str" cm="1">
        <f t="array" ref="I38">_xlfn.IFS(Calls[[#This Row],[Duration (Min)]]&lt;=30,"Under 30 mins",Calls[[#This Row],[Duration (Min)]]&lt;=60,"Under 1h",Calls[[#This Row],[Duration (Min)]]&lt;=120,"Under 2",TRUE,"More than 2h")</f>
        <v>Under 1h</v>
      </c>
      <c r="J38">
        <f>IF(MONTH(Calls[[#This Row],[Date of Call]])&lt;=3,YEAR(Calls[[#This Row],[Date of Call]]),YEAR(Calls[[#This Row],[Date of Call]])+1)</f>
        <v>2025</v>
      </c>
      <c r="K38" t="str">
        <f>TEXT(Calls[[#This Row],[Date of Call]],"dddd")</f>
        <v>Wednesday</v>
      </c>
      <c r="L38" t="str">
        <f>TEXT(Calls[[#This Row],[Date of Call]],"mmm")</f>
        <v>Jan</v>
      </c>
    </row>
    <row r="39" spans="1:12" x14ac:dyDescent="0.3">
      <c r="A39" t="s">
        <v>43</v>
      </c>
      <c r="B39" t="s">
        <v>1017</v>
      </c>
      <c r="C39">
        <v>118</v>
      </c>
      <c r="D39" t="s">
        <v>1029</v>
      </c>
      <c r="E39" t="s">
        <v>1040</v>
      </c>
      <c r="F39">
        <v>122</v>
      </c>
      <c r="G39">
        <v>2</v>
      </c>
      <c r="H39">
        <f>ROUND(Calls[[#This Row],[Satisfactory Rating]],0)</f>
        <v>2</v>
      </c>
      <c r="I39" t="str" cm="1">
        <f t="array" ref="I39">_xlfn.IFS(Calls[[#This Row],[Duration (Min)]]&lt;=30,"Under 30 mins",Calls[[#This Row],[Duration (Min)]]&lt;=60,"Under 1h",Calls[[#This Row],[Duration (Min)]]&lt;=120,"Under 2",TRUE,"More than 2h")</f>
        <v>Under 2</v>
      </c>
      <c r="J39">
        <f>IF(MONTH(Calls[[#This Row],[Date of Call]])&lt;=3,YEAR(Calls[[#This Row],[Date of Call]]),YEAR(Calls[[#This Row],[Date of Call]])+1)</f>
        <v>2025</v>
      </c>
      <c r="K39" t="str">
        <f>TEXT(Calls[[#This Row],[Date of Call]],"dddd")</f>
        <v>Wednesday</v>
      </c>
      <c r="L39" t="str">
        <f>TEXT(Calls[[#This Row],[Date of Call]],"mmm")</f>
        <v>Jan</v>
      </c>
    </row>
    <row r="40" spans="1:12" x14ac:dyDescent="0.3">
      <c r="A40" t="s">
        <v>44</v>
      </c>
      <c r="B40" t="s">
        <v>1014</v>
      </c>
      <c r="C40">
        <v>141</v>
      </c>
      <c r="D40" t="s">
        <v>1027</v>
      </c>
      <c r="E40" t="s">
        <v>1040</v>
      </c>
      <c r="F40">
        <v>130</v>
      </c>
      <c r="G40">
        <v>3.1</v>
      </c>
      <c r="H40">
        <f>ROUND(Calls[[#This Row],[Satisfactory Rating]],0)</f>
        <v>3</v>
      </c>
      <c r="I40" t="str" cm="1">
        <f t="array" ref="I40">_xlfn.IFS(Calls[[#This Row],[Duration (Min)]]&lt;=30,"Under 30 mins",Calls[[#This Row],[Duration (Min)]]&lt;=60,"Under 1h",Calls[[#This Row],[Duration (Min)]]&lt;=120,"Under 2",TRUE,"More than 2h")</f>
        <v>More than 2h</v>
      </c>
      <c r="J40">
        <f>IF(MONTH(Calls[[#This Row],[Date of Call]])&lt;=3,YEAR(Calls[[#This Row],[Date of Call]]),YEAR(Calls[[#This Row],[Date of Call]])+1)</f>
        <v>2025</v>
      </c>
      <c r="K40" t="str">
        <f>TEXT(Calls[[#This Row],[Date of Call]],"dddd")</f>
        <v>Wednesday</v>
      </c>
      <c r="L40" t="str">
        <f>TEXT(Calls[[#This Row],[Date of Call]],"mmm")</f>
        <v>Jan</v>
      </c>
    </row>
    <row r="41" spans="1:12" x14ac:dyDescent="0.3">
      <c r="A41" t="s">
        <v>45</v>
      </c>
      <c r="B41" t="s">
        <v>1018</v>
      </c>
      <c r="C41">
        <v>116</v>
      </c>
      <c r="D41" t="s">
        <v>1029</v>
      </c>
      <c r="E41" t="s">
        <v>1040</v>
      </c>
      <c r="F41">
        <v>79</v>
      </c>
      <c r="G41">
        <v>1.5</v>
      </c>
      <c r="H41">
        <f>ROUND(Calls[[#This Row],[Satisfactory Rating]],0)</f>
        <v>2</v>
      </c>
      <c r="I41" t="str" cm="1">
        <f t="array" ref="I41">_xlfn.IFS(Calls[[#This Row],[Duration (Min)]]&lt;=30,"Under 30 mins",Calls[[#This Row],[Duration (Min)]]&lt;=60,"Under 1h",Calls[[#This Row],[Duration (Min)]]&lt;=120,"Under 2",TRUE,"More than 2h")</f>
        <v>Under 2</v>
      </c>
      <c r="J41">
        <f>IF(MONTH(Calls[[#This Row],[Date of Call]])&lt;=3,YEAR(Calls[[#This Row],[Date of Call]]),YEAR(Calls[[#This Row],[Date of Call]])+1)</f>
        <v>2025</v>
      </c>
      <c r="K41" t="str">
        <f>TEXT(Calls[[#This Row],[Date of Call]],"dddd")</f>
        <v>Wednesday</v>
      </c>
      <c r="L41" t="str">
        <f>TEXT(Calls[[#This Row],[Date of Call]],"mmm")</f>
        <v>Jan</v>
      </c>
    </row>
    <row r="42" spans="1:12" x14ac:dyDescent="0.3">
      <c r="A42" t="s">
        <v>46</v>
      </c>
      <c r="B42" t="s">
        <v>1009</v>
      </c>
      <c r="C42">
        <v>36</v>
      </c>
      <c r="D42" t="s">
        <v>1031</v>
      </c>
      <c r="E42" t="s">
        <v>1041</v>
      </c>
      <c r="F42">
        <v>63</v>
      </c>
      <c r="G42">
        <v>4.0999999999999996</v>
      </c>
      <c r="H42">
        <f>ROUND(Calls[[#This Row],[Satisfactory Rating]],0)</f>
        <v>4</v>
      </c>
      <c r="I42" t="str" cm="1">
        <f t="array" ref="I42">_xlfn.IFS(Calls[[#This Row],[Duration (Min)]]&lt;=30,"Under 30 mins",Calls[[#This Row],[Duration (Min)]]&lt;=60,"Under 1h",Calls[[#This Row],[Duration (Min)]]&lt;=120,"Under 2",TRUE,"More than 2h")</f>
        <v>Under 1h</v>
      </c>
      <c r="J42">
        <f>IF(MONTH(Calls[[#This Row],[Date of Call]])&lt;=3,YEAR(Calls[[#This Row],[Date of Call]]),YEAR(Calls[[#This Row],[Date of Call]])+1)</f>
        <v>2025</v>
      </c>
      <c r="K42" t="str">
        <f>TEXT(Calls[[#This Row],[Date of Call]],"dddd")</f>
        <v>Thursday</v>
      </c>
      <c r="L42" t="str">
        <f>TEXT(Calls[[#This Row],[Date of Call]],"mmm")</f>
        <v>Jan</v>
      </c>
    </row>
    <row r="43" spans="1:12" x14ac:dyDescent="0.3">
      <c r="A43" t="s">
        <v>47</v>
      </c>
      <c r="B43" t="s">
        <v>1021</v>
      </c>
      <c r="C43">
        <v>76</v>
      </c>
      <c r="D43" t="s">
        <v>1030</v>
      </c>
      <c r="E43" t="s">
        <v>1041</v>
      </c>
      <c r="F43">
        <v>102</v>
      </c>
      <c r="G43">
        <v>3.5</v>
      </c>
      <c r="H43">
        <f>ROUND(Calls[[#This Row],[Satisfactory Rating]],0)</f>
        <v>4</v>
      </c>
      <c r="I43" t="str" cm="1">
        <f t="array" ref="I43">_xlfn.IFS(Calls[[#This Row],[Duration (Min)]]&lt;=30,"Under 30 mins",Calls[[#This Row],[Duration (Min)]]&lt;=60,"Under 1h",Calls[[#This Row],[Duration (Min)]]&lt;=120,"Under 2",TRUE,"More than 2h")</f>
        <v>Under 2</v>
      </c>
      <c r="J43">
        <f>IF(MONTH(Calls[[#This Row],[Date of Call]])&lt;=3,YEAR(Calls[[#This Row],[Date of Call]]),YEAR(Calls[[#This Row],[Date of Call]])+1)</f>
        <v>2025</v>
      </c>
      <c r="K43" t="str">
        <f>TEXT(Calls[[#This Row],[Date of Call]],"dddd")</f>
        <v>Thursday</v>
      </c>
      <c r="L43" t="str">
        <f>TEXT(Calls[[#This Row],[Date of Call]],"mmm")</f>
        <v>Jan</v>
      </c>
    </row>
    <row r="44" spans="1:12" x14ac:dyDescent="0.3">
      <c r="A44" t="s">
        <v>48</v>
      </c>
      <c r="B44" t="s">
        <v>1022</v>
      </c>
      <c r="C44">
        <v>33</v>
      </c>
      <c r="D44" t="s">
        <v>1026</v>
      </c>
      <c r="E44" t="s">
        <v>1041</v>
      </c>
      <c r="F44">
        <v>53</v>
      </c>
      <c r="G44">
        <v>2.4</v>
      </c>
      <c r="H44">
        <f>ROUND(Calls[[#This Row],[Satisfactory Rating]],0)</f>
        <v>2</v>
      </c>
      <c r="I44" t="str" cm="1">
        <f t="array" ref="I44">_xlfn.IFS(Calls[[#This Row],[Duration (Min)]]&lt;=30,"Under 30 mins",Calls[[#This Row],[Duration (Min)]]&lt;=60,"Under 1h",Calls[[#This Row],[Duration (Min)]]&lt;=120,"Under 2",TRUE,"More than 2h")</f>
        <v>Under 1h</v>
      </c>
      <c r="J44">
        <f>IF(MONTH(Calls[[#This Row],[Date of Call]])&lt;=3,YEAR(Calls[[#This Row],[Date of Call]]),YEAR(Calls[[#This Row],[Date of Call]])+1)</f>
        <v>2025</v>
      </c>
      <c r="K44" t="str">
        <f>TEXT(Calls[[#This Row],[Date of Call]],"dddd")</f>
        <v>Thursday</v>
      </c>
      <c r="L44" t="str">
        <f>TEXT(Calls[[#This Row],[Date of Call]],"mmm")</f>
        <v>Jan</v>
      </c>
    </row>
    <row r="45" spans="1:12" x14ac:dyDescent="0.3">
      <c r="A45" t="s">
        <v>49</v>
      </c>
      <c r="B45" t="s">
        <v>1023</v>
      </c>
      <c r="C45">
        <v>38</v>
      </c>
      <c r="D45" t="s">
        <v>1032</v>
      </c>
      <c r="E45" t="s">
        <v>1041</v>
      </c>
      <c r="F45">
        <v>128</v>
      </c>
      <c r="G45">
        <v>4.5999999999999996</v>
      </c>
      <c r="H45">
        <f>ROUND(Calls[[#This Row],[Satisfactory Rating]],0)</f>
        <v>5</v>
      </c>
      <c r="I45" t="str" cm="1">
        <f t="array" ref="I45">_xlfn.IFS(Calls[[#This Row],[Duration (Min)]]&lt;=30,"Under 30 mins",Calls[[#This Row],[Duration (Min)]]&lt;=60,"Under 1h",Calls[[#This Row],[Duration (Min)]]&lt;=120,"Under 2",TRUE,"More than 2h")</f>
        <v>Under 1h</v>
      </c>
      <c r="J45">
        <f>IF(MONTH(Calls[[#This Row],[Date of Call]])&lt;=3,YEAR(Calls[[#This Row],[Date of Call]]),YEAR(Calls[[#This Row],[Date of Call]])+1)</f>
        <v>2025</v>
      </c>
      <c r="K45" t="str">
        <f>TEXT(Calls[[#This Row],[Date of Call]],"dddd")</f>
        <v>Thursday</v>
      </c>
      <c r="L45" t="str">
        <f>TEXT(Calls[[#This Row],[Date of Call]],"mmm")</f>
        <v>Jan</v>
      </c>
    </row>
    <row r="46" spans="1:12" x14ac:dyDescent="0.3">
      <c r="A46" t="s">
        <v>50</v>
      </c>
      <c r="B46" t="s">
        <v>1018</v>
      </c>
      <c r="C46">
        <v>78</v>
      </c>
      <c r="D46" t="s">
        <v>1031</v>
      </c>
      <c r="E46" t="s">
        <v>1041</v>
      </c>
      <c r="F46">
        <v>135</v>
      </c>
      <c r="G46">
        <v>1.7</v>
      </c>
      <c r="H46">
        <f>ROUND(Calls[[#This Row],[Satisfactory Rating]],0)</f>
        <v>2</v>
      </c>
      <c r="I46" t="str" cm="1">
        <f t="array" ref="I46">_xlfn.IFS(Calls[[#This Row],[Duration (Min)]]&lt;=30,"Under 30 mins",Calls[[#This Row],[Duration (Min)]]&lt;=60,"Under 1h",Calls[[#This Row],[Duration (Min)]]&lt;=120,"Under 2",TRUE,"More than 2h")</f>
        <v>Under 2</v>
      </c>
      <c r="J46">
        <f>IF(MONTH(Calls[[#This Row],[Date of Call]])&lt;=3,YEAR(Calls[[#This Row],[Date of Call]]),YEAR(Calls[[#This Row],[Date of Call]])+1)</f>
        <v>2025</v>
      </c>
      <c r="K46" t="str">
        <f>TEXT(Calls[[#This Row],[Date of Call]],"dddd")</f>
        <v>Thursday</v>
      </c>
      <c r="L46" t="str">
        <f>TEXT(Calls[[#This Row],[Date of Call]],"mmm")</f>
        <v>Jan</v>
      </c>
    </row>
    <row r="47" spans="1:12" x14ac:dyDescent="0.3">
      <c r="A47" t="s">
        <v>51</v>
      </c>
      <c r="B47" t="s">
        <v>1021</v>
      </c>
      <c r="C47">
        <v>133</v>
      </c>
      <c r="D47" t="s">
        <v>1028</v>
      </c>
      <c r="E47" t="s">
        <v>1042</v>
      </c>
      <c r="F47">
        <v>148</v>
      </c>
      <c r="G47">
        <v>3.5</v>
      </c>
      <c r="H47">
        <f>ROUND(Calls[[#This Row],[Satisfactory Rating]],0)</f>
        <v>4</v>
      </c>
      <c r="I47" t="str" cm="1">
        <f t="array" ref="I47">_xlfn.IFS(Calls[[#This Row],[Duration (Min)]]&lt;=30,"Under 30 mins",Calls[[#This Row],[Duration (Min)]]&lt;=60,"Under 1h",Calls[[#This Row],[Duration (Min)]]&lt;=120,"Under 2",TRUE,"More than 2h")</f>
        <v>More than 2h</v>
      </c>
      <c r="J47">
        <f>IF(MONTH(Calls[[#This Row],[Date of Call]])&lt;=3,YEAR(Calls[[#This Row],[Date of Call]]),YEAR(Calls[[#This Row],[Date of Call]])+1)</f>
        <v>2025</v>
      </c>
      <c r="K47" t="str">
        <f>TEXT(Calls[[#This Row],[Date of Call]],"dddd")</f>
        <v>Friday</v>
      </c>
      <c r="L47" t="str">
        <f>TEXT(Calls[[#This Row],[Date of Call]],"mmm")</f>
        <v>Jan</v>
      </c>
    </row>
    <row r="48" spans="1:12" x14ac:dyDescent="0.3">
      <c r="A48" t="s">
        <v>52</v>
      </c>
      <c r="B48" t="s">
        <v>1022</v>
      </c>
      <c r="C48">
        <v>47</v>
      </c>
      <c r="D48" t="s">
        <v>1031</v>
      </c>
      <c r="E48" t="s">
        <v>1042</v>
      </c>
      <c r="F48">
        <v>73</v>
      </c>
      <c r="G48">
        <v>3.1</v>
      </c>
      <c r="H48">
        <f>ROUND(Calls[[#This Row],[Satisfactory Rating]],0)</f>
        <v>3</v>
      </c>
      <c r="I48" t="str" cm="1">
        <f t="array" ref="I48">_xlfn.IFS(Calls[[#This Row],[Duration (Min)]]&lt;=30,"Under 30 mins",Calls[[#This Row],[Duration (Min)]]&lt;=60,"Under 1h",Calls[[#This Row],[Duration (Min)]]&lt;=120,"Under 2",TRUE,"More than 2h")</f>
        <v>Under 1h</v>
      </c>
      <c r="J48">
        <f>IF(MONTH(Calls[[#This Row],[Date of Call]])&lt;=3,YEAR(Calls[[#This Row],[Date of Call]]),YEAR(Calls[[#This Row],[Date of Call]])+1)</f>
        <v>2025</v>
      </c>
      <c r="K48" t="str">
        <f>TEXT(Calls[[#This Row],[Date of Call]],"dddd")</f>
        <v>Friday</v>
      </c>
      <c r="L48" t="str">
        <f>TEXT(Calls[[#This Row],[Date of Call]],"mmm")</f>
        <v>Jan</v>
      </c>
    </row>
    <row r="49" spans="1:12" x14ac:dyDescent="0.3">
      <c r="A49" t="s">
        <v>53</v>
      </c>
      <c r="B49" t="s">
        <v>1012</v>
      </c>
      <c r="C49">
        <v>37</v>
      </c>
      <c r="D49" t="s">
        <v>1031</v>
      </c>
      <c r="E49" t="s">
        <v>1042</v>
      </c>
      <c r="F49">
        <v>79</v>
      </c>
      <c r="G49">
        <v>1</v>
      </c>
      <c r="H49">
        <f>ROUND(Calls[[#This Row],[Satisfactory Rating]],0)</f>
        <v>1</v>
      </c>
      <c r="I49" t="str" cm="1">
        <f t="array" ref="I49">_xlfn.IFS(Calls[[#This Row],[Duration (Min)]]&lt;=30,"Under 30 mins",Calls[[#This Row],[Duration (Min)]]&lt;=60,"Under 1h",Calls[[#This Row],[Duration (Min)]]&lt;=120,"Under 2",TRUE,"More than 2h")</f>
        <v>Under 1h</v>
      </c>
      <c r="J49">
        <f>IF(MONTH(Calls[[#This Row],[Date of Call]])&lt;=3,YEAR(Calls[[#This Row],[Date of Call]]),YEAR(Calls[[#This Row],[Date of Call]])+1)</f>
        <v>2025</v>
      </c>
      <c r="K49" t="str">
        <f>TEXT(Calls[[#This Row],[Date of Call]],"dddd")</f>
        <v>Friday</v>
      </c>
      <c r="L49" t="str">
        <f>TEXT(Calls[[#This Row],[Date of Call]],"mmm")</f>
        <v>Jan</v>
      </c>
    </row>
    <row r="50" spans="1:12" x14ac:dyDescent="0.3">
      <c r="A50" t="s">
        <v>54</v>
      </c>
      <c r="B50" t="s">
        <v>1009</v>
      </c>
      <c r="C50">
        <v>133</v>
      </c>
      <c r="D50" t="s">
        <v>1027</v>
      </c>
      <c r="E50" t="s">
        <v>1042</v>
      </c>
      <c r="F50">
        <v>118</v>
      </c>
      <c r="G50">
        <v>4.5</v>
      </c>
      <c r="H50">
        <f>ROUND(Calls[[#This Row],[Satisfactory Rating]],0)</f>
        <v>5</v>
      </c>
      <c r="I50" t="str" cm="1">
        <f t="array" ref="I50">_xlfn.IFS(Calls[[#This Row],[Duration (Min)]]&lt;=30,"Under 30 mins",Calls[[#This Row],[Duration (Min)]]&lt;=60,"Under 1h",Calls[[#This Row],[Duration (Min)]]&lt;=120,"Under 2",TRUE,"More than 2h")</f>
        <v>More than 2h</v>
      </c>
      <c r="J50">
        <f>IF(MONTH(Calls[[#This Row],[Date of Call]])&lt;=3,YEAR(Calls[[#This Row],[Date of Call]]),YEAR(Calls[[#This Row],[Date of Call]])+1)</f>
        <v>2025</v>
      </c>
      <c r="K50" t="str">
        <f>TEXT(Calls[[#This Row],[Date of Call]],"dddd")</f>
        <v>Friday</v>
      </c>
      <c r="L50" t="str">
        <f>TEXT(Calls[[#This Row],[Date of Call]],"mmm")</f>
        <v>Jan</v>
      </c>
    </row>
    <row r="51" spans="1:12" x14ac:dyDescent="0.3">
      <c r="A51" t="s">
        <v>55</v>
      </c>
      <c r="B51" t="s">
        <v>1015</v>
      </c>
      <c r="C51">
        <v>12</v>
      </c>
      <c r="D51" t="s">
        <v>1031</v>
      </c>
      <c r="E51" t="s">
        <v>1042</v>
      </c>
      <c r="F51">
        <v>34</v>
      </c>
      <c r="G51">
        <v>4.8</v>
      </c>
      <c r="H51">
        <f>ROUND(Calls[[#This Row],[Satisfactory Rating]],0)</f>
        <v>5</v>
      </c>
      <c r="I51" t="str" cm="1">
        <f t="array" ref="I51">_xlfn.IFS(Calls[[#This Row],[Duration (Min)]]&lt;=30,"Under 30 mins",Calls[[#This Row],[Duration (Min)]]&lt;=60,"Under 1h",Calls[[#This Row],[Duration (Min)]]&lt;=120,"Under 2",TRUE,"More than 2h")</f>
        <v>Under 30 mins</v>
      </c>
      <c r="J51">
        <f>IF(MONTH(Calls[[#This Row],[Date of Call]])&lt;=3,YEAR(Calls[[#This Row],[Date of Call]]),YEAR(Calls[[#This Row],[Date of Call]])+1)</f>
        <v>2025</v>
      </c>
      <c r="K51" t="str">
        <f>TEXT(Calls[[#This Row],[Date of Call]],"dddd")</f>
        <v>Friday</v>
      </c>
      <c r="L51" t="str">
        <f>TEXT(Calls[[#This Row],[Date of Call]],"mmm")</f>
        <v>Jan</v>
      </c>
    </row>
    <row r="52" spans="1:12" x14ac:dyDescent="0.3">
      <c r="A52" t="s">
        <v>56</v>
      </c>
      <c r="B52" t="s">
        <v>1016</v>
      </c>
      <c r="C52">
        <v>19</v>
      </c>
      <c r="D52" t="s">
        <v>1028</v>
      </c>
      <c r="E52" t="s">
        <v>1043</v>
      </c>
      <c r="F52">
        <v>125</v>
      </c>
      <c r="G52">
        <v>4.5999999999999996</v>
      </c>
      <c r="H52">
        <f>ROUND(Calls[[#This Row],[Satisfactory Rating]],0)</f>
        <v>5</v>
      </c>
      <c r="I52" t="str" cm="1">
        <f t="array" ref="I52">_xlfn.IFS(Calls[[#This Row],[Duration (Min)]]&lt;=30,"Under 30 mins",Calls[[#This Row],[Duration (Min)]]&lt;=60,"Under 1h",Calls[[#This Row],[Duration (Min)]]&lt;=120,"Under 2",TRUE,"More than 2h")</f>
        <v>Under 30 mins</v>
      </c>
      <c r="J52">
        <f>IF(MONTH(Calls[[#This Row],[Date of Call]])&lt;=3,YEAR(Calls[[#This Row],[Date of Call]]),YEAR(Calls[[#This Row],[Date of Call]])+1)</f>
        <v>2025</v>
      </c>
      <c r="K52" t="str">
        <f>TEXT(Calls[[#This Row],[Date of Call]],"dddd")</f>
        <v>Saturday</v>
      </c>
      <c r="L52" t="str">
        <f>TEXT(Calls[[#This Row],[Date of Call]],"mmm")</f>
        <v>Jan</v>
      </c>
    </row>
    <row r="53" spans="1:12" x14ac:dyDescent="0.3">
      <c r="A53" t="s">
        <v>57</v>
      </c>
      <c r="B53" t="s">
        <v>1013</v>
      </c>
      <c r="C53">
        <v>27</v>
      </c>
      <c r="D53" t="s">
        <v>1030</v>
      </c>
      <c r="E53" t="s">
        <v>1043</v>
      </c>
      <c r="F53">
        <v>99</v>
      </c>
      <c r="G53">
        <v>3.8</v>
      </c>
      <c r="H53">
        <f>ROUND(Calls[[#This Row],[Satisfactory Rating]],0)</f>
        <v>4</v>
      </c>
      <c r="I53" t="str" cm="1">
        <f t="array" ref="I53">_xlfn.IFS(Calls[[#This Row],[Duration (Min)]]&lt;=30,"Under 30 mins",Calls[[#This Row],[Duration (Min)]]&lt;=60,"Under 1h",Calls[[#This Row],[Duration (Min)]]&lt;=120,"Under 2",TRUE,"More than 2h")</f>
        <v>Under 30 mins</v>
      </c>
      <c r="J53">
        <f>IF(MONTH(Calls[[#This Row],[Date of Call]])&lt;=3,YEAR(Calls[[#This Row],[Date of Call]]),YEAR(Calls[[#This Row],[Date of Call]])+1)</f>
        <v>2025</v>
      </c>
      <c r="K53" t="str">
        <f>TEXT(Calls[[#This Row],[Date of Call]],"dddd")</f>
        <v>Saturday</v>
      </c>
      <c r="L53" t="str">
        <f>TEXT(Calls[[#This Row],[Date of Call]],"mmm")</f>
        <v>Jan</v>
      </c>
    </row>
    <row r="54" spans="1:12" x14ac:dyDescent="0.3">
      <c r="A54" t="s">
        <v>58</v>
      </c>
      <c r="B54" t="s">
        <v>1012</v>
      </c>
      <c r="C54">
        <v>142</v>
      </c>
      <c r="D54" t="s">
        <v>1030</v>
      </c>
      <c r="E54" t="s">
        <v>1043</v>
      </c>
      <c r="F54">
        <v>91</v>
      </c>
      <c r="G54">
        <v>2.6</v>
      </c>
      <c r="H54">
        <f>ROUND(Calls[[#This Row],[Satisfactory Rating]],0)</f>
        <v>3</v>
      </c>
      <c r="I54" t="str" cm="1">
        <f t="array" ref="I54">_xlfn.IFS(Calls[[#This Row],[Duration (Min)]]&lt;=30,"Under 30 mins",Calls[[#This Row],[Duration (Min)]]&lt;=60,"Under 1h",Calls[[#This Row],[Duration (Min)]]&lt;=120,"Under 2",TRUE,"More than 2h")</f>
        <v>More than 2h</v>
      </c>
      <c r="J54">
        <f>IF(MONTH(Calls[[#This Row],[Date of Call]])&lt;=3,YEAR(Calls[[#This Row],[Date of Call]]),YEAR(Calls[[#This Row],[Date of Call]])+1)</f>
        <v>2025</v>
      </c>
      <c r="K54" t="str">
        <f>TEXT(Calls[[#This Row],[Date of Call]],"dddd")</f>
        <v>Saturday</v>
      </c>
      <c r="L54" t="str">
        <f>TEXT(Calls[[#This Row],[Date of Call]],"mmm")</f>
        <v>Jan</v>
      </c>
    </row>
    <row r="55" spans="1:12" x14ac:dyDescent="0.3">
      <c r="A55" t="s">
        <v>59</v>
      </c>
      <c r="B55" t="s">
        <v>1014</v>
      </c>
      <c r="C55">
        <v>82</v>
      </c>
      <c r="D55" t="s">
        <v>1030</v>
      </c>
      <c r="E55" t="s">
        <v>1043</v>
      </c>
      <c r="F55">
        <v>91</v>
      </c>
      <c r="G55">
        <v>1.9</v>
      </c>
      <c r="H55">
        <f>ROUND(Calls[[#This Row],[Satisfactory Rating]],0)</f>
        <v>2</v>
      </c>
      <c r="I55" t="str" cm="1">
        <f t="array" ref="I55">_xlfn.IFS(Calls[[#This Row],[Duration (Min)]]&lt;=30,"Under 30 mins",Calls[[#This Row],[Duration (Min)]]&lt;=60,"Under 1h",Calls[[#This Row],[Duration (Min)]]&lt;=120,"Under 2",TRUE,"More than 2h")</f>
        <v>Under 2</v>
      </c>
      <c r="J55">
        <f>IF(MONTH(Calls[[#This Row],[Date of Call]])&lt;=3,YEAR(Calls[[#This Row],[Date of Call]]),YEAR(Calls[[#This Row],[Date of Call]])+1)</f>
        <v>2025</v>
      </c>
      <c r="K55" t="str">
        <f>TEXT(Calls[[#This Row],[Date of Call]],"dddd")</f>
        <v>Saturday</v>
      </c>
      <c r="L55" t="str">
        <f>TEXT(Calls[[#This Row],[Date of Call]],"mmm")</f>
        <v>Jan</v>
      </c>
    </row>
    <row r="56" spans="1:12" x14ac:dyDescent="0.3">
      <c r="A56" t="s">
        <v>60</v>
      </c>
      <c r="B56" t="s">
        <v>1019</v>
      </c>
      <c r="C56">
        <v>47</v>
      </c>
      <c r="D56" t="s">
        <v>1031</v>
      </c>
      <c r="E56" t="s">
        <v>1043</v>
      </c>
      <c r="F56">
        <v>127</v>
      </c>
      <c r="G56">
        <v>3.3</v>
      </c>
      <c r="H56">
        <f>ROUND(Calls[[#This Row],[Satisfactory Rating]],0)</f>
        <v>3</v>
      </c>
      <c r="I56" t="str" cm="1">
        <f t="array" ref="I56">_xlfn.IFS(Calls[[#This Row],[Duration (Min)]]&lt;=30,"Under 30 mins",Calls[[#This Row],[Duration (Min)]]&lt;=60,"Under 1h",Calls[[#This Row],[Duration (Min)]]&lt;=120,"Under 2",TRUE,"More than 2h")</f>
        <v>Under 1h</v>
      </c>
      <c r="J56">
        <f>IF(MONTH(Calls[[#This Row],[Date of Call]])&lt;=3,YEAR(Calls[[#This Row],[Date of Call]]),YEAR(Calls[[#This Row],[Date of Call]])+1)</f>
        <v>2025</v>
      </c>
      <c r="K56" t="str">
        <f>TEXT(Calls[[#This Row],[Date of Call]],"dddd")</f>
        <v>Saturday</v>
      </c>
      <c r="L56" t="str">
        <f>TEXT(Calls[[#This Row],[Date of Call]],"mmm")</f>
        <v>Jan</v>
      </c>
    </row>
    <row r="57" spans="1:12" x14ac:dyDescent="0.3">
      <c r="A57" t="s">
        <v>61</v>
      </c>
      <c r="B57" t="s">
        <v>1020</v>
      </c>
      <c r="C57">
        <v>14</v>
      </c>
      <c r="D57" t="s">
        <v>1026</v>
      </c>
      <c r="E57" t="s">
        <v>1044</v>
      </c>
      <c r="F57">
        <v>79</v>
      </c>
      <c r="G57">
        <v>2.5</v>
      </c>
      <c r="H57">
        <f>ROUND(Calls[[#This Row],[Satisfactory Rating]],0)</f>
        <v>3</v>
      </c>
      <c r="I57" t="str" cm="1">
        <f t="array" ref="I57">_xlfn.IFS(Calls[[#This Row],[Duration (Min)]]&lt;=30,"Under 30 mins",Calls[[#This Row],[Duration (Min)]]&lt;=60,"Under 1h",Calls[[#This Row],[Duration (Min)]]&lt;=120,"Under 2",TRUE,"More than 2h")</f>
        <v>Under 30 mins</v>
      </c>
      <c r="J57">
        <f>IF(MONTH(Calls[[#This Row],[Date of Call]])&lt;=3,YEAR(Calls[[#This Row],[Date of Call]]),YEAR(Calls[[#This Row],[Date of Call]])+1)</f>
        <v>2025</v>
      </c>
      <c r="K57" t="str">
        <f>TEXT(Calls[[#This Row],[Date of Call]],"dddd")</f>
        <v>Sunday</v>
      </c>
      <c r="L57" t="str">
        <f>TEXT(Calls[[#This Row],[Date of Call]],"mmm")</f>
        <v>Jan</v>
      </c>
    </row>
    <row r="58" spans="1:12" x14ac:dyDescent="0.3">
      <c r="A58" t="s">
        <v>62</v>
      </c>
      <c r="B58" t="s">
        <v>1022</v>
      </c>
      <c r="C58">
        <v>98</v>
      </c>
      <c r="D58" t="s">
        <v>1031</v>
      </c>
      <c r="E58" t="s">
        <v>1044</v>
      </c>
      <c r="F58">
        <v>21</v>
      </c>
      <c r="G58">
        <v>4.3</v>
      </c>
      <c r="H58">
        <f>ROUND(Calls[[#This Row],[Satisfactory Rating]],0)</f>
        <v>4</v>
      </c>
      <c r="I58" t="str" cm="1">
        <f t="array" ref="I58">_xlfn.IFS(Calls[[#This Row],[Duration (Min)]]&lt;=30,"Under 30 mins",Calls[[#This Row],[Duration (Min)]]&lt;=60,"Under 1h",Calls[[#This Row],[Duration (Min)]]&lt;=120,"Under 2",TRUE,"More than 2h")</f>
        <v>Under 2</v>
      </c>
      <c r="J58">
        <f>IF(MONTH(Calls[[#This Row],[Date of Call]])&lt;=3,YEAR(Calls[[#This Row],[Date of Call]]),YEAR(Calls[[#This Row],[Date of Call]])+1)</f>
        <v>2025</v>
      </c>
      <c r="K58" t="str">
        <f>TEXT(Calls[[#This Row],[Date of Call]],"dddd")</f>
        <v>Sunday</v>
      </c>
      <c r="L58" t="str">
        <f>TEXT(Calls[[#This Row],[Date of Call]],"mmm")</f>
        <v>Jan</v>
      </c>
    </row>
    <row r="59" spans="1:12" x14ac:dyDescent="0.3">
      <c r="A59" t="s">
        <v>63</v>
      </c>
      <c r="B59" t="s">
        <v>1019</v>
      </c>
      <c r="C59">
        <v>149</v>
      </c>
      <c r="D59" t="s">
        <v>1027</v>
      </c>
      <c r="E59" t="s">
        <v>1044</v>
      </c>
      <c r="F59">
        <v>18</v>
      </c>
      <c r="G59">
        <v>4.2</v>
      </c>
      <c r="H59">
        <f>ROUND(Calls[[#This Row],[Satisfactory Rating]],0)</f>
        <v>4</v>
      </c>
      <c r="I59" t="str" cm="1">
        <f t="array" ref="I59">_xlfn.IFS(Calls[[#This Row],[Duration (Min)]]&lt;=30,"Under 30 mins",Calls[[#This Row],[Duration (Min)]]&lt;=60,"Under 1h",Calls[[#This Row],[Duration (Min)]]&lt;=120,"Under 2",TRUE,"More than 2h")</f>
        <v>More than 2h</v>
      </c>
      <c r="J59">
        <f>IF(MONTH(Calls[[#This Row],[Date of Call]])&lt;=3,YEAR(Calls[[#This Row],[Date of Call]]),YEAR(Calls[[#This Row],[Date of Call]])+1)</f>
        <v>2025</v>
      </c>
      <c r="K59" t="str">
        <f>TEXT(Calls[[#This Row],[Date of Call]],"dddd")</f>
        <v>Sunday</v>
      </c>
      <c r="L59" t="str">
        <f>TEXT(Calls[[#This Row],[Date of Call]],"mmm")</f>
        <v>Jan</v>
      </c>
    </row>
    <row r="60" spans="1:12" x14ac:dyDescent="0.3">
      <c r="A60" t="s">
        <v>64</v>
      </c>
      <c r="B60" t="s">
        <v>1013</v>
      </c>
      <c r="C60">
        <v>72</v>
      </c>
      <c r="D60" t="s">
        <v>1031</v>
      </c>
      <c r="E60" t="s">
        <v>1044</v>
      </c>
      <c r="F60">
        <v>58</v>
      </c>
      <c r="G60">
        <v>4.5999999999999996</v>
      </c>
      <c r="H60">
        <f>ROUND(Calls[[#This Row],[Satisfactory Rating]],0)</f>
        <v>5</v>
      </c>
      <c r="I60" t="str" cm="1">
        <f t="array" ref="I60">_xlfn.IFS(Calls[[#This Row],[Duration (Min)]]&lt;=30,"Under 30 mins",Calls[[#This Row],[Duration (Min)]]&lt;=60,"Under 1h",Calls[[#This Row],[Duration (Min)]]&lt;=120,"Under 2",TRUE,"More than 2h")</f>
        <v>Under 2</v>
      </c>
      <c r="J60">
        <f>IF(MONTH(Calls[[#This Row],[Date of Call]])&lt;=3,YEAR(Calls[[#This Row],[Date of Call]]),YEAR(Calls[[#This Row],[Date of Call]])+1)</f>
        <v>2025</v>
      </c>
      <c r="K60" t="str">
        <f>TEXT(Calls[[#This Row],[Date of Call]],"dddd")</f>
        <v>Sunday</v>
      </c>
      <c r="L60" t="str">
        <f>TEXT(Calls[[#This Row],[Date of Call]],"mmm")</f>
        <v>Jan</v>
      </c>
    </row>
    <row r="61" spans="1:12" x14ac:dyDescent="0.3">
      <c r="A61" t="s">
        <v>65</v>
      </c>
      <c r="B61" t="s">
        <v>1008</v>
      </c>
      <c r="C61">
        <v>19</v>
      </c>
      <c r="D61" t="s">
        <v>1030</v>
      </c>
      <c r="E61" t="s">
        <v>1044</v>
      </c>
      <c r="F61">
        <v>143</v>
      </c>
      <c r="G61">
        <v>2.2999999999999998</v>
      </c>
      <c r="H61">
        <f>ROUND(Calls[[#This Row],[Satisfactory Rating]],0)</f>
        <v>2</v>
      </c>
      <c r="I61" t="str" cm="1">
        <f t="array" ref="I61">_xlfn.IFS(Calls[[#This Row],[Duration (Min)]]&lt;=30,"Under 30 mins",Calls[[#This Row],[Duration (Min)]]&lt;=60,"Under 1h",Calls[[#This Row],[Duration (Min)]]&lt;=120,"Under 2",TRUE,"More than 2h")</f>
        <v>Under 30 mins</v>
      </c>
      <c r="J61">
        <f>IF(MONTH(Calls[[#This Row],[Date of Call]])&lt;=3,YEAR(Calls[[#This Row],[Date of Call]]),YEAR(Calls[[#This Row],[Date of Call]])+1)</f>
        <v>2025</v>
      </c>
      <c r="K61" t="str">
        <f>TEXT(Calls[[#This Row],[Date of Call]],"dddd")</f>
        <v>Sunday</v>
      </c>
      <c r="L61" t="str">
        <f>TEXT(Calls[[#This Row],[Date of Call]],"mmm")</f>
        <v>Jan</v>
      </c>
    </row>
    <row r="62" spans="1:12" x14ac:dyDescent="0.3">
      <c r="A62" t="s">
        <v>66</v>
      </c>
      <c r="B62" t="s">
        <v>1017</v>
      </c>
      <c r="C62">
        <v>131</v>
      </c>
      <c r="D62" t="s">
        <v>1026</v>
      </c>
      <c r="E62" t="s">
        <v>1045</v>
      </c>
      <c r="F62">
        <v>46</v>
      </c>
      <c r="G62">
        <v>1.4</v>
      </c>
      <c r="H62">
        <f>ROUND(Calls[[#This Row],[Satisfactory Rating]],0)</f>
        <v>1</v>
      </c>
      <c r="I62" t="str" cm="1">
        <f t="array" ref="I62">_xlfn.IFS(Calls[[#This Row],[Duration (Min)]]&lt;=30,"Under 30 mins",Calls[[#This Row],[Duration (Min)]]&lt;=60,"Under 1h",Calls[[#This Row],[Duration (Min)]]&lt;=120,"Under 2",TRUE,"More than 2h")</f>
        <v>More than 2h</v>
      </c>
      <c r="J62">
        <f>IF(MONTH(Calls[[#This Row],[Date of Call]])&lt;=3,YEAR(Calls[[#This Row],[Date of Call]]),YEAR(Calls[[#This Row],[Date of Call]])+1)</f>
        <v>2025</v>
      </c>
      <c r="K62" t="str">
        <f>TEXT(Calls[[#This Row],[Date of Call]],"dddd")</f>
        <v>Monday</v>
      </c>
      <c r="L62" t="str">
        <f>TEXT(Calls[[#This Row],[Date of Call]],"mmm")</f>
        <v>Jan</v>
      </c>
    </row>
    <row r="63" spans="1:12" x14ac:dyDescent="0.3">
      <c r="A63" t="s">
        <v>67</v>
      </c>
      <c r="B63" t="s">
        <v>1006</v>
      </c>
      <c r="C63">
        <v>130</v>
      </c>
      <c r="D63" t="s">
        <v>1032</v>
      </c>
      <c r="E63" t="s">
        <v>1045</v>
      </c>
      <c r="F63">
        <v>51</v>
      </c>
      <c r="G63">
        <v>1.5</v>
      </c>
      <c r="H63">
        <f>ROUND(Calls[[#This Row],[Satisfactory Rating]],0)</f>
        <v>2</v>
      </c>
      <c r="I63" t="str" cm="1">
        <f t="array" ref="I63">_xlfn.IFS(Calls[[#This Row],[Duration (Min)]]&lt;=30,"Under 30 mins",Calls[[#This Row],[Duration (Min)]]&lt;=60,"Under 1h",Calls[[#This Row],[Duration (Min)]]&lt;=120,"Under 2",TRUE,"More than 2h")</f>
        <v>More than 2h</v>
      </c>
      <c r="J63">
        <f>IF(MONTH(Calls[[#This Row],[Date of Call]])&lt;=3,YEAR(Calls[[#This Row],[Date of Call]]),YEAR(Calls[[#This Row],[Date of Call]])+1)</f>
        <v>2025</v>
      </c>
      <c r="K63" t="str">
        <f>TEXT(Calls[[#This Row],[Date of Call]],"dddd")</f>
        <v>Monday</v>
      </c>
      <c r="L63" t="str">
        <f>TEXT(Calls[[#This Row],[Date of Call]],"mmm")</f>
        <v>Jan</v>
      </c>
    </row>
    <row r="64" spans="1:12" x14ac:dyDescent="0.3">
      <c r="A64" t="s">
        <v>68</v>
      </c>
      <c r="B64" t="s">
        <v>1017</v>
      </c>
      <c r="C64">
        <v>142</v>
      </c>
      <c r="D64" t="s">
        <v>1026</v>
      </c>
      <c r="E64" t="s">
        <v>1045</v>
      </c>
      <c r="F64">
        <v>101</v>
      </c>
      <c r="G64">
        <v>2.1</v>
      </c>
      <c r="H64">
        <f>ROUND(Calls[[#This Row],[Satisfactory Rating]],0)</f>
        <v>2</v>
      </c>
      <c r="I64" t="str" cm="1">
        <f t="array" ref="I64">_xlfn.IFS(Calls[[#This Row],[Duration (Min)]]&lt;=30,"Under 30 mins",Calls[[#This Row],[Duration (Min)]]&lt;=60,"Under 1h",Calls[[#This Row],[Duration (Min)]]&lt;=120,"Under 2",TRUE,"More than 2h")</f>
        <v>More than 2h</v>
      </c>
      <c r="J64">
        <f>IF(MONTH(Calls[[#This Row],[Date of Call]])&lt;=3,YEAR(Calls[[#This Row],[Date of Call]]),YEAR(Calls[[#This Row],[Date of Call]])+1)</f>
        <v>2025</v>
      </c>
      <c r="K64" t="str">
        <f>TEXT(Calls[[#This Row],[Date of Call]],"dddd")</f>
        <v>Monday</v>
      </c>
      <c r="L64" t="str">
        <f>TEXT(Calls[[#This Row],[Date of Call]],"mmm")</f>
        <v>Jan</v>
      </c>
    </row>
    <row r="65" spans="1:12" x14ac:dyDescent="0.3">
      <c r="A65" t="s">
        <v>69</v>
      </c>
      <c r="B65" t="s">
        <v>1016</v>
      </c>
      <c r="C65">
        <v>129</v>
      </c>
      <c r="D65" t="s">
        <v>1032</v>
      </c>
      <c r="E65" t="s">
        <v>1045</v>
      </c>
      <c r="F65">
        <v>85</v>
      </c>
      <c r="G65">
        <v>4.9000000000000004</v>
      </c>
      <c r="H65">
        <f>ROUND(Calls[[#This Row],[Satisfactory Rating]],0)</f>
        <v>5</v>
      </c>
      <c r="I65" t="str" cm="1">
        <f t="array" ref="I65">_xlfn.IFS(Calls[[#This Row],[Duration (Min)]]&lt;=30,"Under 30 mins",Calls[[#This Row],[Duration (Min)]]&lt;=60,"Under 1h",Calls[[#This Row],[Duration (Min)]]&lt;=120,"Under 2",TRUE,"More than 2h")</f>
        <v>More than 2h</v>
      </c>
      <c r="J65">
        <f>IF(MONTH(Calls[[#This Row],[Date of Call]])&lt;=3,YEAR(Calls[[#This Row],[Date of Call]]),YEAR(Calls[[#This Row],[Date of Call]])+1)</f>
        <v>2025</v>
      </c>
      <c r="K65" t="str">
        <f>TEXT(Calls[[#This Row],[Date of Call]],"dddd")</f>
        <v>Monday</v>
      </c>
      <c r="L65" t="str">
        <f>TEXT(Calls[[#This Row],[Date of Call]],"mmm")</f>
        <v>Jan</v>
      </c>
    </row>
    <row r="66" spans="1:12" x14ac:dyDescent="0.3">
      <c r="A66" t="s">
        <v>70</v>
      </c>
      <c r="B66" t="s">
        <v>1023</v>
      </c>
      <c r="C66">
        <v>111</v>
      </c>
      <c r="D66" t="s">
        <v>1031</v>
      </c>
      <c r="E66" t="s">
        <v>1045</v>
      </c>
      <c r="F66">
        <v>38</v>
      </c>
      <c r="G66">
        <v>4.5999999999999996</v>
      </c>
      <c r="H66">
        <f>ROUND(Calls[[#This Row],[Satisfactory Rating]],0)</f>
        <v>5</v>
      </c>
      <c r="I66" t="str" cm="1">
        <f t="array" ref="I66">_xlfn.IFS(Calls[[#This Row],[Duration (Min)]]&lt;=30,"Under 30 mins",Calls[[#This Row],[Duration (Min)]]&lt;=60,"Under 1h",Calls[[#This Row],[Duration (Min)]]&lt;=120,"Under 2",TRUE,"More than 2h")</f>
        <v>Under 2</v>
      </c>
      <c r="J66">
        <f>IF(MONTH(Calls[[#This Row],[Date of Call]])&lt;=3,YEAR(Calls[[#This Row],[Date of Call]]),YEAR(Calls[[#This Row],[Date of Call]])+1)</f>
        <v>2025</v>
      </c>
      <c r="K66" t="str">
        <f>TEXT(Calls[[#This Row],[Date of Call]],"dddd")</f>
        <v>Monday</v>
      </c>
      <c r="L66" t="str">
        <f>TEXT(Calls[[#This Row],[Date of Call]],"mmm")</f>
        <v>Jan</v>
      </c>
    </row>
    <row r="67" spans="1:12" x14ac:dyDescent="0.3">
      <c r="A67" t="s">
        <v>71</v>
      </c>
      <c r="B67" t="s">
        <v>1016</v>
      </c>
      <c r="C67">
        <v>66</v>
      </c>
      <c r="D67" t="s">
        <v>1030</v>
      </c>
      <c r="E67" t="s">
        <v>1046</v>
      </c>
      <c r="F67">
        <v>147</v>
      </c>
      <c r="G67">
        <v>1.5</v>
      </c>
      <c r="H67">
        <f>ROUND(Calls[[#This Row],[Satisfactory Rating]],0)</f>
        <v>2</v>
      </c>
      <c r="I67" t="str" cm="1">
        <f t="array" ref="I67">_xlfn.IFS(Calls[[#This Row],[Duration (Min)]]&lt;=30,"Under 30 mins",Calls[[#This Row],[Duration (Min)]]&lt;=60,"Under 1h",Calls[[#This Row],[Duration (Min)]]&lt;=120,"Under 2",TRUE,"More than 2h")</f>
        <v>Under 2</v>
      </c>
      <c r="J67">
        <f>IF(MONTH(Calls[[#This Row],[Date of Call]])&lt;=3,YEAR(Calls[[#This Row],[Date of Call]]),YEAR(Calls[[#This Row],[Date of Call]])+1)</f>
        <v>2025</v>
      </c>
      <c r="K67" t="str">
        <f>TEXT(Calls[[#This Row],[Date of Call]],"dddd")</f>
        <v>Tuesday</v>
      </c>
      <c r="L67" t="str">
        <f>TEXT(Calls[[#This Row],[Date of Call]],"mmm")</f>
        <v>Jan</v>
      </c>
    </row>
    <row r="68" spans="1:12" x14ac:dyDescent="0.3">
      <c r="A68" t="s">
        <v>72</v>
      </c>
      <c r="B68" t="s">
        <v>1018</v>
      </c>
      <c r="C68">
        <v>126</v>
      </c>
      <c r="D68" t="s">
        <v>1026</v>
      </c>
      <c r="E68" t="s">
        <v>1046</v>
      </c>
      <c r="F68">
        <v>79</v>
      </c>
      <c r="G68">
        <v>2.7</v>
      </c>
      <c r="H68">
        <f>ROUND(Calls[[#This Row],[Satisfactory Rating]],0)</f>
        <v>3</v>
      </c>
      <c r="I68" t="str" cm="1">
        <f t="array" ref="I68">_xlfn.IFS(Calls[[#This Row],[Duration (Min)]]&lt;=30,"Under 30 mins",Calls[[#This Row],[Duration (Min)]]&lt;=60,"Under 1h",Calls[[#This Row],[Duration (Min)]]&lt;=120,"Under 2",TRUE,"More than 2h")</f>
        <v>More than 2h</v>
      </c>
      <c r="J68">
        <f>IF(MONTH(Calls[[#This Row],[Date of Call]])&lt;=3,YEAR(Calls[[#This Row],[Date of Call]]),YEAR(Calls[[#This Row],[Date of Call]])+1)</f>
        <v>2025</v>
      </c>
      <c r="K68" t="str">
        <f>TEXT(Calls[[#This Row],[Date of Call]],"dddd")</f>
        <v>Tuesday</v>
      </c>
      <c r="L68" t="str">
        <f>TEXT(Calls[[#This Row],[Date of Call]],"mmm")</f>
        <v>Jan</v>
      </c>
    </row>
    <row r="69" spans="1:12" x14ac:dyDescent="0.3">
      <c r="A69" t="s">
        <v>73</v>
      </c>
      <c r="B69" t="s">
        <v>1010</v>
      </c>
      <c r="C69">
        <v>15</v>
      </c>
      <c r="D69" t="s">
        <v>1026</v>
      </c>
      <c r="E69" t="s">
        <v>1046</v>
      </c>
      <c r="F69">
        <v>149</v>
      </c>
      <c r="G69">
        <v>2.9</v>
      </c>
      <c r="H69">
        <f>ROUND(Calls[[#This Row],[Satisfactory Rating]],0)</f>
        <v>3</v>
      </c>
      <c r="I69" t="str" cm="1">
        <f t="array" ref="I69">_xlfn.IFS(Calls[[#This Row],[Duration (Min)]]&lt;=30,"Under 30 mins",Calls[[#This Row],[Duration (Min)]]&lt;=60,"Under 1h",Calls[[#This Row],[Duration (Min)]]&lt;=120,"Under 2",TRUE,"More than 2h")</f>
        <v>Under 30 mins</v>
      </c>
      <c r="J69">
        <f>IF(MONTH(Calls[[#This Row],[Date of Call]])&lt;=3,YEAR(Calls[[#This Row],[Date of Call]]),YEAR(Calls[[#This Row],[Date of Call]])+1)</f>
        <v>2025</v>
      </c>
      <c r="K69" t="str">
        <f>TEXT(Calls[[#This Row],[Date of Call]],"dddd")</f>
        <v>Tuesday</v>
      </c>
      <c r="L69" t="str">
        <f>TEXT(Calls[[#This Row],[Date of Call]],"mmm")</f>
        <v>Jan</v>
      </c>
    </row>
    <row r="70" spans="1:12" x14ac:dyDescent="0.3">
      <c r="A70" t="s">
        <v>74</v>
      </c>
      <c r="B70" t="s">
        <v>1019</v>
      </c>
      <c r="C70">
        <v>149</v>
      </c>
      <c r="D70" t="s">
        <v>1031</v>
      </c>
      <c r="E70" t="s">
        <v>1046</v>
      </c>
      <c r="F70">
        <v>29</v>
      </c>
      <c r="G70">
        <v>3.7</v>
      </c>
      <c r="H70">
        <f>ROUND(Calls[[#This Row],[Satisfactory Rating]],0)</f>
        <v>4</v>
      </c>
      <c r="I70" t="str" cm="1">
        <f t="array" ref="I70">_xlfn.IFS(Calls[[#This Row],[Duration (Min)]]&lt;=30,"Under 30 mins",Calls[[#This Row],[Duration (Min)]]&lt;=60,"Under 1h",Calls[[#This Row],[Duration (Min)]]&lt;=120,"Under 2",TRUE,"More than 2h")</f>
        <v>More than 2h</v>
      </c>
      <c r="J70">
        <f>IF(MONTH(Calls[[#This Row],[Date of Call]])&lt;=3,YEAR(Calls[[#This Row],[Date of Call]]),YEAR(Calls[[#This Row],[Date of Call]])+1)</f>
        <v>2025</v>
      </c>
      <c r="K70" t="str">
        <f>TEXT(Calls[[#This Row],[Date of Call]],"dddd")</f>
        <v>Tuesday</v>
      </c>
      <c r="L70" t="str">
        <f>TEXT(Calls[[#This Row],[Date of Call]],"mmm")</f>
        <v>Jan</v>
      </c>
    </row>
    <row r="71" spans="1:12" x14ac:dyDescent="0.3">
      <c r="A71" t="s">
        <v>75</v>
      </c>
      <c r="B71" t="s">
        <v>1011</v>
      </c>
      <c r="C71">
        <v>134</v>
      </c>
      <c r="D71" t="s">
        <v>1028</v>
      </c>
      <c r="E71" t="s">
        <v>1046</v>
      </c>
      <c r="F71">
        <v>26</v>
      </c>
      <c r="G71">
        <v>2.4</v>
      </c>
      <c r="H71">
        <f>ROUND(Calls[[#This Row],[Satisfactory Rating]],0)</f>
        <v>2</v>
      </c>
      <c r="I71" t="str" cm="1">
        <f t="array" ref="I71">_xlfn.IFS(Calls[[#This Row],[Duration (Min)]]&lt;=30,"Under 30 mins",Calls[[#This Row],[Duration (Min)]]&lt;=60,"Under 1h",Calls[[#This Row],[Duration (Min)]]&lt;=120,"Under 2",TRUE,"More than 2h")</f>
        <v>More than 2h</v>
      </c>
      <c r="J71">
        <f>IF(MONTH(Calls[[#This Row],[Date of Call]])&lt;=3,YEAR(Calls[[#This Row],[Date of Call]]),YEAR(Calls[[#This Row],[Date of Call]])+1)</f>
        <v>2025</v>
      </c>
      <c r="K71" t="str">
        <f>TEXT(Calls[[#This Row],[Date of Call]],"dddd")</f>
        <v>Tuesday</v>
      </c>
      <c r="L71" t="str">
        <f>TEXT(Calls[[#This Row],[Date of Call]],"mmm")</f>
        <v>Jan</v>
      </c>
    </row>
    <row r="72" spans="1:12" x14ac:dyDescent="0.3">
      <c r="A72" t="s">
        <v>76</v>
      </c>
      <c r="B72" t="s">
        <v>1021</v>
      </c>
      <c r="C72">
        <v>41</v>
      </c>
      <c r="D72" t="s">
        <v>1026</v>
      </c>
      <c r="E72" t="s">
        <v>1047</v>
      </c>
      <c r="F72">
        <v>39</v>
      </c>
      <c r="G72">
        <v>5</v>
      </c>
      <c r="H72">
        <f>ROUND(Calls[[#This Row],[Satisfactory Rating]],0)</f>
        <v>5</v>
      </c>
      <c r="I72" t="str" cm="1">
        <f t="array" ref="I72">_xlfn.IFS(Calls[[#This Row],[Duration (Min)]]&lt;=30,"Under 30 mins",Calls[[#This Row],[Duration (Min)]]&lt;=60,"Under 1h",Calls[[#This Row],[Duration (Min)]]&lt;=120,"Under 2",TRUE,"More than 2h")</f>
        <v>Under 1h</v>
      </c>
      <c r="J72">
        <f>IF(MONTH(Calls[[#This Row],[Date of Call]])&lt;=3,YEAR(Calls[[#This Row],[Date of Call]]),YEAR(Calls[[#This Row],[Date of Call]])+1)</f>
        <v>2025</v>
      </c>
      <c r="K72" t="str">
        <f>TEXT(Calls[[#This Row],[Date of Call]],"dddd")</f>
        <v>Wednesday</v>
      </c>
      <c r="L72" t="str">
        <f>TEXT(Calls[[#This Row],[Date of Call]],"mmm")</f>
        <v>Jan</v>
      </c>
    </row>
    <row r="73" spans="1:12" x14ac:dyDescent="0.3">
      <c r="A73" t="s">
        <v>77</v>
      </c>
      <c r="B73" t="s">
        <v>1016</v>
      </c>
      <c r="C73">
        <v>134</v>
      </c>
      <c r="D73" t="s">
        <v>1031</v>
      </c>
      <c r="E73" t="s">
        <v>1047</v>
      </c>
      <c r="F73">
        <v>41</v>
      </c>
      <c r="G73">
        <v>1.2</v>
      </c>
      <c r="H73">
        <f>ROUND(Calls[[#This Row],[Satisfactory Rating]],0)</f>
        <v>1</v>
      </c>
      <c r="I73" t="str" cm="1">
        <f t="array" ref="I73">_xlfn.IFS(Calls[[#This Row],[Duration (Min)]]&lt;=30,"Under 30 mins",Calls[[#This Row],[Duration (Min)]]&lt;=60,"Under 1h",Calls[[#This Row],[Duration (Min)]]&lt;=120,"Under 2",TRUE,"More than 2h")</f>
        <v>More than 2h</v>
      </c>
      <c r="J73">
        <f>IF(MONTH(Calls[[#This Row],[Date of Call]])&lt;=3,YEAR(Calls[[#This Row],[Date of Call]]),YEAR(Calls[[#This Row],[Date of Call]])+1)</f>
        <v>2025</v>
      </c>
      <c r="K73" t="str">
        <f>TEXT(Calls[[#This Row],[Date of Call]],"dddd")</f>
        <v>Wednesday</v>
      </c>
      <c r="L73" t="str">
        <f>TEXT(Calls[[#This Row],[Date of Call]],"mmm")</f>
        <v>Jan</v>
      </c>
    </row>
    <row r="74" spans="1:12" x14ac:dyDescent="0.3">
      <c r="A74" t="s">
        <v>78</v>
      </c>
      <c r="B74" t="s">
        <v>1019</v>
      </c>
      <c r="C74">
        <v>134</v>
      </c>
      <c r="D74" t="s">
        <v>1027</v>
      </c>
      <c r="E74" t="s">
        <v>1047</v>
      </c>
      <c r="F74">
        <v>40</v>
      </c>
      <c r="G74">
        <v>3.2</v>
      </c>
      <c r="H74">
        <f>ROUND(Calls[[#This Row],[Satisfactory Rating]],0)</f>
        <v>3</v>
      </c>
      <c r="I74" t="str" cm="1">
        <f t="array" ref="I74">_xlfn.IFS(Calls[[#This Row],[Duration (Min)]]&lt;=30,"Under 30 mins",Calls[[#This Row],[Duration (Min)]]&lt;=60,"Under 1h",Calls[[#This Row],[Duration (Min)]]&lt;=120,"Under 2",TRUE,"More than 2h")</f>
        <v>More than 2h</v>
      </c>
      <c r="J74">
        <f>IF(MONTH(Calls[[#This Row],[Date of Call]])&lt;=3,YEAR(Calls[[#This Row],[Date of Call]]),YEAR(Calls[[#This Row],[Date of Call]])+1)</f>
        <v>2025</v>
      </c>
      <c r="K74" t="str">
        <f>TEXT(Calls[[#This Row],[Date of Call]],"dddd")</f>
        <v>Wednesday</v>
      </c>
      <c r="L74" t="str">
        <f>TEXT(Calls[[#This Row],[Date of Call]],"mmm")</f>
        <v>Jan</v>
      </c>
    </row>
    <row r="75" spans="1:12" x14ac:dyDescent="0.3">
      <c r="A75" t="s">
        <v>79</v>
      </c>
      <c r="B75" t="s">
        <v>1019</v>
      </c>
      <c r="C75">
        <v>39</v>
      </c>
      <c r="D75" t="s">
        <v>1030</v>
      </c>
      <c r="E75" t="s">
        <v>1047</v>
      </c>
      <c r="F75">
        <v>53</v>
      </c>
      <c r="G75">
        <v>1</v>
      </c>
      <c r="H75">
        <f>ROUND(Calls[[#This Row],[Satisfactory Rating]],0)</f>
        <v>1</v>
      </c>
      <c r="I75" t="str" cm="1">
        <f t="array" ref="I75">_xlfn.IFS(Calls[[#This Row],[Duration (Min)]]&lt;=30,"Under 30 mins",Calls[[#This Row],[Duration (Min)]]&lt;=60,"Under 1h",Calls[[#This Row],[Duration (Min)]]&lt;=120,"Under 2",TRUE,"More than 2h")</f>
        <v>Under 1h</v>
      </c>
      <c r="J75">
        <f>IF(MONTH(Calls[[#This Row],[Date of Call]])&lt;=3,YEAR(Calls[[#This Row],[Date of Call]]),YEAR(Calls[[#This Row],[Date of Call]])+1)</f>
        <v>2025</v>
      </c>
      <c r="K75" t="str">
        <f>TEXT(Calls[[#This Row],[Date of Call]],"dddd")</f>
        <v>Wednesday</v>
      </c>
      <c r="L75" t="str">
        <f>TEXT(Calls[[#This Row],[Date of Call]],"mmm")</f>
        <v>Jan</v>
      </c>
    </row>
    <row r="76" spans="1:12" x14ac:dyDescent="0.3">
      <c r="A76" t="s">
        <v>80</v>
      </c>
      <c r="B76" t="s">
        <v>1018</v>
      </c>
      <c r="C76">
        <v>144</v>
      </c>
      <c r="D76" t="s">
        <v>1030</v>
      </c>
      <c r="E76" t="s">
        <v>1047</v>
      </c>
      <c r="F76">
        <v>88</v>
      </c>
      <c r="G76">
        <v>1.5</v>
      </c>
      <c r="H76">
        <f>ROUND(Calls[[#This Row],[Satisfactory Rating]],0)</f>
        <v>2</v>
      </c>
      <c r="I76" t="str" cm="1">
        <f t="array" ref="I76">_xlfn.IFS(Calls[[#This Row],[Duration (Min)]]&lt;=30,"Under 30 mins",Calls[[#This Row],[Duration (Min)]]&lt;=60,"Under 1h",Calls[[#This Row],[Duration (Min)]]&lt;=120,"Under 2",TRUE,"More than 2h")</f>
        <v>More than 2h</v>
      </c>
      <c r="J76">
        <f>IF(MONTH(Calls[[#This Row],[Date of Call]])&lt;=3,YEAR(Calls[[#This Row],[Date of Call]]),YEAR(Calls[[#This Row],[Date of Call]])+1)</f>
        <v>2025</v>
      </c>
      <c r="K76" t="str">
        <f>TEXT(Calls[[#This Row],[Date of Call]],"dddd")</f>
        <v>Wednesday</v>
      </c>
      <c r="L76" t="str">
        <f>TEXT(Calls[[#This Row],[Date of Call]],"mmm")</f>
        <v>Jan</v>
      </c>
    </row>
    <row r="77" spans="1:12" x14ac:dyDescent="0.3">
      <c r="A77" t="s">
        <v>81</v>
      </c>
      <c r="B77" t="s">
        <v>1014</v>
      </c>
      <c r="C77">
        <v>49</v>
      </c>
      <c r="D77" t="s">
        <v>1028</v>
      </c>
      <c r="E77" t="s">
        <v>1048</v>
      </c>
      <c r="F77">
        <v>57</v>
      </c>
      <c r="G77">
        <v>4.2</v>
      </c>
      <c r="H77">
        <f>ROUND(Calls[[#This Row],[Satisfactory Rating]],0)</f>
        <v>4</v>
      </c>
      <c r="I77" t="str" cm="1">
        <f t="array" ref="I77">_xlfn.IFS(Calls[[#This Row],[Duration (Min)]]&lt;=30,"Under 30 mins",Calls[[#This Row],[Duration (Min)]]&lt;=60,"Under 1h",Calls[[#This Row],[Duration (Min)]]&lt;=120,"Under 2",TRUE,"More than 2h")</f>
        <v>Under 1h</v>
      </c>
      <c r="J77">
        <f>IF(MONTH(Calls[[#This Row],[Date of Call]])&lt;=3,YEAR(Calls[[#This Row],[Date of Call]]),YEAR(Calls[[#This Row],[Date of Call]])+1)</f>
        <v>2025</v>
      </c>
      <c r="K77" t="str">
        <f>TEXT(Calls[[#This Row],[Date of Call]],"dddd")</f>
        <v>Thursday</v>
      </c>
      <c r="L77" t="str">
        <f>TEXT(Calls[[#This Row],[Date of Call]],"mmm")</f>
        <v>Jan</v>
      </c>
    </row>
    <row r="78" spans="1:12" x14ac:dyDescent="0.3">
      <c r="A78" t="s">
        <v>82</v>
      </c>
      <c r="B78" t="s">
        <v>1015</v>
      </c>
      <c r="C78">
        <v>134</v>
      </c>
      <c r="D78" t="s">
        <v>1027</v>
      </c>
      <c r="E78" t="s">
        <v>1048</v>
      </c>
      <c r="F78">
        <v>110</v>
      </c>
      <c r="G78">
        <v>2.1</v>
      </c>
      <c r="H78">
        <f>ROUND(Calls[[#This Row],[Satisfactory Rating]],0)</f>
        <v>2</v>
      </c>
      <c r="I78" t="str" cm="1">
        <f t="array" ref="I78">_xlfn.IFS(Calls[[#This Row],[Duration (Min)]]&lt;=30,"Under 30 mins",Calls[[#This Row],[Duration (Min)]]&lt;=60,"Under 1h",Calls[[#This Row],[Duration (Min)]]&lt;=120,"Under 2",TRUE,"More than 2h")</f>
        <v>More than 2h</v>
      </c>
      <c r="J78">
        <f>IF(MONTH(Calls[[#This Row],[Date of Call]])&lt;=3,YEAR(Calls[[#This Row],[Date of Call]]),YEAR(Calls[[#This Row],[Date of Call]])+1)</f>
        <v>2025</v>
      </c>
      <c r="K78" t="str">
        <f>TEXT(Calls[[#This Row],[Date of Call]],"dddd")</f>
        <v>Thursday</v>
      </c>
      <c r="L78" t="str">
        <f>TEXT(Calls[[#This Row],[Date of Call]],"mmm")</f>
        <v>Jan</v>
      </c>
    </row>
    <row r="79" spans="1:12" x14ac:dyDescent="0.3">
      <c r="A79" t="s">
        <v>83</v>
      </c>
      <c r="B79" t="s">
        <v>1024</v>
      </c>
      <c r="C79">
        <v>38</v>
      </c>
      <c r="D79" t="s">
        <v>1030</v>
      </c>
      <c r="E79" t="s">
        <v>1048</v>
      </c>
      <c r="F79">
        <v>54</v>
      </c>
      <c r="G79">
        <v>4.5</v>
      </c>
      <c r="H79">
        <f>ROUND(Calls[[#This Row],[Satisfactory Rating]],0)</f>
        <v>5</v>
      </c>
      <c r="I79" t="str" cm="1">
        <f t="array" ref="I79">_xlfn.IFS(Calls[[#This Row],[Duration (Min)]]&lt;=30,"Under 30 mins",Calls[[#This Row],[Duration (Min)]]&lt;=60,"Under 1h",Calls[[#This Row],[Duration (Min)]]&lt;=120,"Under 2",TRUE,"More than 2h")</f>
        <v>Under 1h</v>
      </c>
      <c r="J79">
        <f>IF(MONTH(Calls[[#This Row],[Date of Call]])&lt;=3,YEAR(Calls[[#This Row],[Date of Call]]),YEAR(Calls[[#This Row],[Date of Call]])+1)</f>
        <v>2025</v>
      </c>
      <c r="K79" t="str">
        <f>TEXT(Calls[[#This Row],[Date of Call]],"dddd")</f>
        <v>Thursday</v>
      </c>
      <c r="L79" t="str">
        <f>TEXT(Calls[[#This Row],[Date of Call]],"mmm")</f>
        <v>Jan</v>
      </c>
    </row>
    <row r="80" spans="1:12" x14ac:dyDescent="0.3">
      <c r="A80" t="s">
        <v>84</v>
      </c>
      <c r="B80" t="s">
        <v>1014</v>
      </c>
      <c r="C80">
        <v>69</v>
      </c>
      <c r="D80" t="s">
        <v>1028</v>
      </c>
      <c r="E80" t="s">
        <v>1048</v>
      </c>
      <c r="F80">
        <v>90</v>
      </c>
      <c r="G80">
        <v>1.2</v>
      </c>
      <c r="H80">
        <f>ROUND(Calls[[#This Row],[Satisfactory Rating]],0)</f>
        <v>1</v>
      </c>
      <c r="I80" t="str" cm="1">
        <f t="array" ref="I80">_xlfn.IFS(Calls[[#This Row],[Duration (Min)]]&lt;=30,"Under 30 mins",Calls[[#This Row],[Duration (Min)]]&lt;=60,"Under 1h",Calls[[#This Row],[Duration (Min)]]&lt;=120,"Under 2",TRUE,"More than 2h")</f>
        <v>Under 2</v>
      </c>
      <c r="J80">
        <f>IF(MONTH(Calls[[#This Row],[Date of Call]])&lt;=3,YEAR(Calls[[#This Row],[Date of Call]]),YEAR(Calls[[#This Row],[Date of Call]])+1)</f>
        <v>2025</v>
      </c>
      <c r="K80" t="str">
        <f>TEXT(Calls[[#This Row],[Date of Call]],"dddd")</f>
        <v>Thursday</v>
      </c>
      <c r="L80" t="str">
        <f>TEXT(Calls[[#This Row],[Date of Call]],"mmm")</f>
        <v>Jan</v>
      </c>
    </row>
    <row r="81" spans="1:12" x14ac:dyDescent="0.3">
      <c r="A81" t="s">
        <v>85</v>
      </c>
      <c r="B81" t="s">
        <v>1021</v>
      </c>
      <c r="C81">
        <v>93</v>
      </c>
      <c r="D81" t="s">
        <v>1032</v>
      </c>
      <c r="E81" t="s">
        <v>1048</v>
      </c>
      <c r="F81">
        <v>97</v>
      </c>
      <c r="G81">
        <v>3.3</v>
      </c>
      <c r="H81">
        <f>ROUND(Calls[[#This Row],[Satisfactory Rating]],0)</f>
        <v>3</v>
      </c>
      <c r="I81" t="str" cm="1">
        <f t="array" ref="I81">_xlfn.IFS(Calls[[#This Row],[Duration (Min)]]&lt;=30,"Under 30 mins",Calls[[#This Row],[Duration (Min)]]&lt;=60,"Under 1h",Calls[[#This Row],[Duration (Min)]]&lt;=120,"Under 2",TRUE,"More than 2h")</f>
        <v>Under 2</v>
      </c>
      <c r="J81">
        <f>IF(MONTH(Calls[[#This Row],[Date of Call]])&lt;=3,YEAR(Calls[[#This Row],[Date of Call]]),YEAR(Calls[[#This Row],[Date of Call]])+1)</f>
        <v>2025</v>
      </c>
      <c r="K81" t="str">
        <f>TEXT(Calls[[#This Row],[Date of Call]],"dddd")</f>
        <v>Thursday</v>
      </c>
      <c r="L81" t="str">
        <f>TEXT(Calls[[#This Row],[Date of Call]],"mmm")</f>
        <v>Jan</v>
      </c>
    </row>
    <row r="82" spans="1:12" x14ac:dyDescent="0.3">
      <c r="A82" t="s">
        <v>86</v>
      </c>
      <c r="B82" t="s">
        <v>1014</v>
      </c>
      <c r="C82">
        <v>155</v>
      </c>
      <c r="D82" t="s">
        <v>1026</v>
      </c>
      <c r="E82" t="s">
        <v>1049</v>
      </c>
      <c r="F82">
        <v>145</v>
      </c>
      <c r="G82">
        <v>2.4</v>
      </c>
      <c r="H82">
        <f>ROUND(Calls[[#This Row],[Satisfactory Rating]],0)</f>
        <v>2</v>
      </c>
      <c r="I82" t="str" cm="1">
        <f t="array" ref="I82">_xlfn.IFS(Calls[[#This Row],[Duration (Min)]]&lt;=30,"Under 30 mins",Calls[[#This Row],[Duration (Min)]]&lt;=60,"Under 1h",Calls[[#This Row],[Duration (Min)]]&lt;=120,"Under 2",TRUE,"More than 2h")</f>
        <v>More than 2h</v>
      </c>
      <c r="J82">
        <f>IF(MONTH(Calls[[#This Row],[Date of Call]])&lt;=3,YEAR(Calls[[#This Row],[Date of Call]]),YEAR(Calls[[#This Row],[Date of Call]])+1)</f>
        <v>2025</v>
      </c>
      <c r="K82" t="str">
        <f>TEXT(Calls[[#This Row],[Date of Call]],"dddd")</f>
        <v>Friday</v>
      </c>
      <c r="L82" t="str">
        <f>TEXT(Calls[[#This Row],[Date of Call]],"mmm")</f>
        <v>Jan</v>
      </c>
    </row>
    <row r="83" spans="1:12" x14ac:dyDescent="0.3">
      <c r="A83" t="s">
        <v>87</v>
      </c>
      <c r="B83" t="s">
        <v>1014</v>
      </c>
      <c r="C83">
        <v>28</v>
      </c>
      <c r="D83" t="s">
        <v>1031</v>
      </c>
      <c r="E83" t="s">
        <v>1049</v>
      </c>
      <c r="F83">
        <v>92</v>
      </c>
      <c r="G83">
        <v>1.6</v>
      </c>
      <c r="H83">
        <f>ROUND(Calls[[#This Row],[Satisfactory Rating]],0)</f>
        <v>2</v>
      </c>
      <c r="I83" t="str" cm="1">
        <f t="array" ref="I83">_xlfn.IFS(Calls[[#This Row],[Duration (Min)]]&lt;=30,"Under 30 mins",Calls[[#This Row],[Duration (Min)]]&lt;=60,"Under 1h",Calls[[#This Row],[Duration (Min)]]&lt;=120,"Under 2",TRUE,"More than 2h")</f>
        <v>Under 30 mins</v>
      </c>
      <c r="J83">
        <f>IF(MONTH(Calls[[#This Row],[Date of Call]])&lt;=3,YEAR(Calls[[#This Row],[Date of Call]]),YEAR(Calls[[#This Row],[Date of Call]])+1)</f>
        <v>2025</v>
      </c>
      <c r="K83" t="str">
        <f>TEXT(Calls[[#This Row],[Date of Call]],"dddd")</f>
        <v>Friday</v>
      </c>
      <c r="L83" t="str">
        <f>TEXT(Calls[[#This Row],[Date of Call]],"mmm")</f>
        <v>Jan</v>
      </c>
    </row>
    <row r="84" spans="1:12" x14ac:dyDescent="0.3">
      <c r="A84" t="s">
        <v>88</v>
      </c>
      <c r="B84" t="s">
        <v>1014</v>
      </c>
      <c r="C84">
        <v>114</v>
      </c>
      <c r="D84" t="s">
        <v>1031</v>
      </c>
      <c r="E84" t="s">
        <v>1049</v>
      </c>
      <c r="F84">
        <v>31</v>
      </c>
      <c r="G84">
        <v>3.4</v>
      </c>
      <c r="H84">
        <f>ROUND(Calls[[#This Row],[Satisfactory Rating]],0)</f>
        <v>3</v>
      </c>
      <c r="I84" t="str" cm="1">
        <f t="array" ref="I84">_xlfn.IFS(Calls[[#This Row],[Duration (Min)]]&lt;=30,"Under 30 mins",Calls[[#This Row],[Duration (Min)]]&lt;=60,"Under 1h",Calls[[#This Row],[Duration (Min)]]&lt;=120,"Under 2",TRUE,"More than 2h")</f>
        <v>Under 2</v>
      </c>
      <c r="J84">
        <f>IF(MONTH(Calls[[#This Row],[Date of Call]])&lt;=3,YEAR(Calls[[#This Row],[Date of Call]]),YEAR(Calls[[#This Row],[Date of Call]])+1)</f>
        <v>2025</v>
      </c>
      <c r="K84" t="str">
        <f>TEXT(Calls[[#This Row],[Date of Call]],"dddd")</f>
        <v>Friday</v>
      </c>
      <c r="L84" t="str">
        <f>TEXT(Calls[[#This Row],[Date of Call]],"mmm")</f>
        <v>Jan</v>
      </c>
    </row>
    <row r="85" spans="1:12" x14ac:dyDescent="0.3">
      <c r="A85" t="s">
        <v>89</v>
      </c>
      <c r="B85" t="s">
        <v>1012</v>
      </c>
      <c r="C85">
        <v>110</v>
      </c>
      <c r="D85" t="s">
        <v>1031</v>
      </c>
      <c r="E85" t="s">
        <v>1049</v>
      </c>
      <c r="F85">
        <v>101</v>
      </c>
      <c r="G85">
        <v>3.1</v>
      </c>
      <c r="H85">
        <f>ROUND(Calls[[#This Row],[Satisfactory Rating]],0)</f>
        <v>3</v>
      </c>
      <c r="I85" t="str" cm="1">
        <f t="array" ref="I85">_xlfn.IFS(Calls[[#This Row],[Duration (Min)]]&lt;=30,"Under 30 mins",Calls[[#This Row],[Duration (Min)]]&lt;=60,"Under 1h",Calls[[#This Row],[Duration (Min)]]&lt;=120,"Under 2",TRUE,"More than 2h")</f>
        <v>Under 2</v>
      </c>
      <c r="J85">
        <f>IF(MONTH(Calls[[#This Row],[Date of Call]])&lt;=3,YEAR(Calls[[#This Row],[Date of Call]]),YEAR(Calls[[#This Row],[Date of Call]])+1)</f>
        <v>2025</v>
      </c>
      <c r="K85" t="str">
        <f>TEXT(Calls[[#This Row],[Date of Call]],"dddd")</f>
        <v>Friday</v>
      </c>
      <c r="L85" t="str">
        <f>TEXT(Calls[[#This Row],[Date of Call]],"mmm")</f>
        <v>Jan</v>
      </c>
    </row>
    <row r="86" spans="1:12" x14ac:dyDescent="0.3">
      <c r="A86" t="s">
        <v>90</v>
      </c>
      <c r="B86" t="s">
        <v>1016</v>
      </c>
      <c r="C86">
        <v>141</v>
      </c>
      <c r="D86" t="s">
        <v>1028</v>
      </c>
      <c r="E86" t="s">
        <v>1049</v>
      </c>
      <c r="F86">
        <v>134</v>
      </c>
      <c r="G86">
        <v>4.7</v>
      </c>
      <c r="H86">
        <f>ROUND(Calls[[#This Row],[Satisfactory Rating]],0)</f>
        <v>5</v>
      </c>
      <c r="I86" t="str" cm="1">
        <f t="array" ref="I86">_xlfn.IFS(Calls[[#This Row],[Duration (Min)]]&lt;=30,"Under 30 mins",Calls[[#This Row],[Duration (Min)]]&lt;=60,"Under 1h",Calls[[#This Row],[Duration (Min)]]&lt;=120,"Under 2",TRUE,"More than 2h")</f>
        <v>More than 2h</v>
      </c>
      <c r="J86">
        <f>IF(MONTH(Calls[[#This Row],[Date of Call]])&lt;=3,YEAR(Calls[[#This Row],[Date of Call]]),YEAR(Calls[[#This Row],[Date of Call]])+1)</f>
        <v>2025</v>
      </c>
      <c r="K86" t="str">
        <f>TEXT(Calls[[#This Row],[Date of Call]],"dddd")</f>
        <v>Friday</v>
      </c>
      <c r="L86" t="str">
        <f>TEXT(Calls[[#This Row],[Date of Call]],"mmm")</f>
        <v>Jan</v>
      </c>
    </row>
    <row r="87" spans="1:12" x14ac:dyDescent="0.3">
      <c r="A87" t="s">
        <v>91</v>
      </c>
      <c r="B87" t="s">
        <v>1021</v>
      </c>
      <c r="C87">
        <v>159</v>
      </c>
      <c r="D87" t="s">
        <v>1027</v>
      </c>
      <c r="E87" t="s">
        <v>1050</v>
      </c>
      <c r="F87">
        <v>139</v>
      </c>
      <c r="G87">
        <v>2</v>
      </c>
      <c r="H87">
        <f>ROUND(Calls[[#This Row],[Satisfactory Rating]],0)</f>
        <v>2</v>
      </c>
      <c r="I87" t="str" cm="1">
        <f t="array" ref="I87">_xlfn.IFS(Calls[[#This Row],[Duration (Min)]]&lt;=30,"Under 30 mins",Calls[[#This Row],[Duration (Min)]]&lt;=60,"Under 1h",Calls[[#This Row],[Duration (Min)]]&lt;=120,"Under 2",TRUE,"More than 2h")</f>
        <v>More than 2h</v>
      </c>
      <c r="J87">
        <f>IF(MONTH(Calls[[#This Row],[Date of Call]])&lt;=3,YEAR(Calls[[#This Row],[Date of Call]]),YEAR(Calls[[#This Row],[Date of Call]])+1)</f>
        <v>2025</v>
      </c>
      <c r="K87" t="str">
        <f>TEXT(Calls[[#This Row],[Date of Call]],"dddd")</f>
        <v>Saturday</v>
      </c>
      <c r="L87" t="str">
        <f>TEXT(Calls[[#This Row],[Date of Call]],"mmm")</f>
        <v>Jan</v>
      </c>
    </row>
    <row r="88" spans="1:12" x14ac:dyDescent="0.3">
      <c r="A88" t="s">
        <v>92</v>
      </c>
      <c r="B88" t="s">
        <v>1015</v>
      </c>
      <c r="C88">
        <v>28</v>
      </c>
      <c r="D88" t="s">
        <v>1029</v>
      </c>
      <c r="E88" t="s">
        <v>1050</v>
      </c>
      <c r="F88">
        <v>47</v>
      </c>
      <c r="G88">
        <v>1.2</v>
      </c>
      <c r="H88">
        <f>ROUND(Calls[[#This Row],[Satisfactory Rating]],0)</f>
        <v>1</v>
      </c>
      <c r="I88" t="str" cm="1">
        <f t="array" ref="I88">_xlfn.IFS(Calls[[#This Row],[Duration (Min)]]&lt;=30,"Under 30 mins",Calls[[#This Row],[Duration (Min)]]&lt;=60,"Under 1h",Calls[[#This Row],[Duration (Min)]]&lt;=120,"Under 2",TRUE,"More than 2h")</f>
        <v>Under 30 mins</v>
      </c>
      <c r="J88">
        <f>IF(MONTH(Calls[[#This Row],[Date of Call]])&lt;=3,YEAR(Calls[[#This Row],[Date of Call]]),YEAR(Calls[[#This Row],[Date of Call]])+1)</f>
        <v>2025</v>
      </c>
      <c r="K88" t="str">
        <f>TEXT(Calls[[#This Row],[Date of Call]],"dddd")</f>
        <v>Saturday</v>
      </c>
      <c r="L88" t="str">
        <f>TEXT(Calls[[#This Row],[Date of Call]],"mmm")</f>
        <v>Jan</v>
      </c>
    </row>
    <row r="89" spans="1:12" x14ac:dyDescent="0.3">
      <c r="A89" t="s">
        <v>93</v>
      </c>
      <c r="B89" t="s">
        <v>1011</v>
      </c>
      <c r="C89">
        <v>101</v>
      </c>
      <c r="D89" t="s">
        <v>1027</v>
      </c>
      <c r="E89" t="s">
        <v>1050</v>
      </c>
      <c r="F89">
        <v>28</v>
      </c>
      <c r="G89">
        <v>2.2999999999999998</v>
      </c>
      <c r="H89">
        <f>ROUND(Calls[[#This Row],[Satisfactory Rating]],0)</f>
        <v>2</v>
      </c>
      <c r="I89" t="str" cm="1">
        <f t="array" ref="I89">_xlfn.IFS(Calls[[#This Row],[Duration (Min)]]&lt;=30,"Under 30 mins",Calls[[#This Row],[Duration (Min)]]&lt;=60,"Under 1h",Calls[[#This Row],[Duration (Min)]]&lt;=120,"Under 2",TRUE,"More than 2h")</f>
        <v>Under 2</v>
      </c>
      <c r="J89">
        <f>IF(MONTH(Calls[[#This Row],[Date of Call]])&lt;=3,YEAR(Calls[[#This Row],[Date of Call]]),YEAR(Calls[[#This Row],[Date of Call]])+1)</f>
        <v>2025</v>
      </c>
      <c r="K89" t="str">
        <f>TEXT(Calls[[#This Row],[Date of Call]],"dddd")</f>
        <v>Saturday</v>
      </c>
      <c r="L89" t="str">
        <f>TEXT(Calls[[#This Row],[Date of Call]],"mmm")</f>
        <v>Jan</v>
      </c>
    </row>
    <row r="90" spans="1:12" x14ac:dyDescent="0.3">
      <c r="A90" t="s">
        <v>94</v>
      </c>
      <c r="B90" t="s">
        <v>1023</v>
      </c>
      <c r="C90">
        <v>63</v>
      </c>
      <c r="D90" t="s">
        <v>1031</v>
      </c>
      <c r="E90" t="s">
        <v>1050</v>
      </c>
      <c r="F90">
        <v>67</v>
      </c>
      <c r="G90">
        <v>2.4</v>
      </c>
      <c r="H90">
        <f>ROUND(Calls[[#This Row],[Satisfactory Rating]],0)</f>
        <v>2</v>
      </c>
      <c r="I90" t="str" cm="1">
        <f t="array" ref="I90">_xlfn.IFS(Calls[[#This Row],[Duration (Min)]]&lt;=30,"Under 30 mins",Calls[[#This Row],[Duration (Min)]]&lt;=60,"Under 1h",Calls[[#This Row],[Duration (Min)]]&lt;=120,"Under 2",TRUE,"More than 2h")</f>
        <v>Under 2</v>
      </c>
      <c r="J90">
        <f>IF(MONTH(Calls[[#This Row],[Date of Call]])&lt;=3,YEAR(Calls[[#This Row],[Date of Call]]),YEAR(Calls[[#This Row],[Date of Call]])+1)</f>
        <v>2025</v>
      </c>
      <c r="K90" t="str">
        <f>TEXT(Calls[[#This Row],[Date of Call]],"dddd")</f>
        <v>Saturday</v>
      </c>
      <c r="L90" t="str">
        <f>TEXT(Calls[[#This Row],[Date of Call]],"mmm")</f>
        <v>Jan</v>
      </c>
    </row>
    <row r="91" spans="1:12" x14ac:dyDescent="0.3">
      <c r="A91" t="s">
        <v>95</v>
      </c>
      <c r="B91" t="s">
        <v>1009</v>
      </c>
      <c r="C91">
        <v>49</v>
      </c>
      <c r="D91" t="s">
        <v>1026</v>
      </c>
      <c r="E91" t="s">
        <v>1050</v>
      </c>
      <c r="F91">
        <v>84</v>
      </c>
      <c r="G91">
        <v>2.8</v>
      </c>
      <c r="H91">
        <f>ROUND(Calls[[#This Row],[Satisfactory Rating]],0)</f>
        <v>3</v>
      </c>
      <c r="I91" t="str" cm="1">
        <f t="array" ref="I91">_xlfn.IFS(Calls[[#This Row],[Duration (Min)]]&lt;=30,"Under 30 mins",Calls[[#This Row],[Duration (Min)]]&lt;=60,"Under 1h",Calls[[#This Row],[Duration (Min)]]&lt;=120,"Under 2",TRUE,"More than 2h")</f>
        <v>Under 1h</v>
      </c>
      <c r="J91">
        <f>IF(MONTH(Calls[[#This Row],[Date of Call]])&lt;=3,YEAR(Calls[[#This Row],[Date of Call]]),YEAR(Calls[[#This Row],[Date of Call]])+1)</f>
        <v>2025</v>
      </c>
      <c r="K91" t="str">
        <f>TEXT(Calls[[#This Row],[Date of Call]],"dddd")</f>
        <v>Saturday</v>
      </c>
      <c r="L91" t="str">
        <f>TEXT(Calls[[#This Row],[Date of Call]],"mmm")</f>
        <v>Jan</v>
      </c>
    </row>
    <row r="92" spans="1:12" x14ac:dyDescent="0.3">
      <c r="A92" t="s">
        <v>96</v>
      </c>
      <c r="B92" t="s">
        <v>1014</v>
      </c>
      <c r="C92">
        <v>86</v>
      </c>
      <c r="D92" t="s">
        <v>1032</v>
      </c>
      <c r="E92" t="s">
        <v>1051</v>
      </c>
      <c r="F92">
        <v>145</v>
      </c>
      <c r="G92">
        <v>4</v>
      </c>
      <c r="H92">
        <f>ROUND(Calls[[#This Row],[Satisfactory Rating]],0)</f>
        <v>4</v>
      </c>
      <c r="I92" t="str" cm="1">
        <f t="array" ref="I92">_xlfn.IFS(Calls[[#This Row],[Duration (Min)]]&lt;=30,"Under 30 mins",Calls[[#This Row],[Duration (Min)]]&lt;=60,"Under 1h",Calls[[#This Row],[Duration (Min)]]&lt;=120,"Under 2",TRUE,"More than 2h")</f>
        <v>Under 2</v>
      </c>
      <c r="J92">
        <f>IF(MONTH(Calls[[#This Row],[Date of Call]])&lt;=3,YEAR(Calls[[#This Row],[Date of Call]]),YEAR(Calls[[#This Row],[Date of Call]])+1)</f>
        <v>2025</v>
      </c>
      <c r="K92" t="str">
        <f>TEXT(Calls[[#This Row],[Date of Call]],"dddd")</f>
        <v>Sunday</v>
      </c>
      <c r="L92" t="str">
        <f>TEXT(Calls[[#This Row],[Date of Call]],"mmm")</f>
        <v>Jan</v>
      </c>
    </row>
    <row r="93" spans="1:12" x14ac:dyDescent="0.3">
      <c r="A93" t="s">
        <v>97</v>
      </c>
      <c r="B93" t="s">
        <v>1009</v>
      </c>
      <c r="C93">
        <v>46</v>
      </c>
      <c r="D93" t="s">
        <v>1031</v>
      </c>
      <c r="E93" t="s">
        <v>1051</v>
      </c>
      <c r="F93">
        <v>110</v>
      </c>
      <c r="G93">
        <v>2.6</v>
      </c>
      <c r="H93">
        <f>ROUND(Calls[[#This Row],[Satisfactory Rating]],0)</f>
        <v>3</v>
      </c>
      <c r="I93" t="str" cm="1">
        <f t="array" ref="I93">_xlfn.IFS(Calls[[#This Row],[Duration (Min)]]&lt;=30,"Under 30 mins",Calls[[#This Row],[Duration (Min)]]&lt;=60,"Under 1h",Calls[[#This Row],[Duration (Min)]]&lt;=120,"Under 2",TRUE,"More than 2h")</f>
        <v>Under 1h</v>
      </c>
      <c r="J93">
        <f>IF(MONTH(Calls[[#This Row],[Date of Call]])&lt;=3,YEAR(Calls[[#This Row],[Date of Call]]),YEAR(Calls[[#This Row],[Date of Call]])+1)</f>
        <v>2025</v>
      </c>
      <c r="K93" t="str">
        <f>TEXT(Calls[[#This Row],[Date of Call]],"dddd")</f>
        <v>Sunday</v>
      </c>
      <c r="L93" t="str">
        <f>TEXT(Calls[[#This Row],[Date of Call]],"mmm")</f>
        <v>Jan</v>
      </c>
    </row>
    <row r="94" spans="1:12" x14ac:dyDescent="0.3">
      <c r="A94" t="s">
        <v>98</v>
      </c>
      <c r="B94" t="s">
        <v>1025</v>
      </c>
      <c r="C94">
        <v>142</v>
      </c>
      <c r="D94" t="s">
        <v>1030</v>
      </c>
      <c r="E94" t="s">
        <v>1051</v>
      </c>
      <c r="F94">
        <v>94</v>
      </c>
      <c r="G94">
        <v>3</v>
      </c>
      <c r="H94">
        <f>ROUND(Calls[[#This Row],[Satisfactory Rating]],0)</f>
        <v>3</v>
      </c>
      <c r="I94" t="str" cm="1">
        <f t="array" ref="I94">_xlfn.IFS(Calls[[#This Row],[Duration (Min)]]&lt;=30,"Under 30 mins",Calls[[#This Row],[Duration (Min)]]&lt;=60,"Under 1h",Calls[[#This Row],[Duration (Min)]]&lt;=120,"Under 2",TRUE,"More than 2h")</f>
        <v>More than 2h</v>
      </c>
      <c r="J94">
        <f>IF(MONTH(Calls[[#This Row],[Date of Call]])&lt;=3,YEAR(Calls[[#This Row],[Date of Call]]),YEAR(Calls[[#This Row],[Date of Call]])+1)</f>
        <v>2025</v>
      </c>
      <c r="K94" t="str">
        <f>TEXT(Calls[[#This Row],[Date of Call]],"dddd")</f>
        <v>Sunday</v>
      </c>
      <c r="L94" t="str">
        <f>TEXT(Calls[[#This Row],[Date of Call]],"mmm")</f>
        <v>Jan</v>
      </c>
    </row>
    <row r="95" spans="1:12" x14ac:dyDescent="0.3">
      <c r="A95" t="s">
        <v>99</v>
      </c>
      <c r="B95" t="s">
        <v>1015</v>
      </c>
      <c r="C95">
        <v>86</v>
      </c>
      <c r="D95" t="s">
        <v>1027</v>
      </c>
      <c r="E95" t="s">
        <v>1051</v>
      </c>
      <c r="F95">
        <v>150</v>
      </c>
      <c r="G95">
        <v>3.4</v>
      </c>
      <c r="H95">
        <f>ROUND(Calls[[#This Row],[Satisfactory Rating]],0)</f>
        <v>3</v>
      </c>
      <c r="I95" t="str" cm="1">
        <f t="array" ref="I95">_xlfn.IFS(Calls[[#This Row],[Duration (Min)]]&lt;=30,"Under 30 mins",Calls[[#This Row],[Duration (Min)]]&lt;=60,"Under 1h",Calls[[#This Row],[Duration (Min)]]&lt;=120,"Under 2",TRUE,"More than 2h")</f>
        <v>Under 2</v>
      </c>
      <c r="J95">
        <f>IF(MONTH(Calls[[#This Row],[Date of Call]])&lt;=3,YEAR(Calls[[#This Row],[Date of Call]]),YEAR(Calls[[#This Row],[Date of Call]])+1)</f>
        <v>2025</v>
      </c>
      <c r="K95" t="str">
        <f>TEXT(Calls[[#This Row],[Date of Call]],"dddd")</f>
        <v>Sunday</v>
      </c>
      <c r="L95" t="str">
        <f>TEXT(Calls[[#This Row],[Date of Call]],"mmm")</f>
        <v>Jan</v>
      </c>
    </row>
    <row r="96" spans="1:12" x14ac:dyDescent="0.3">
      <c r="A96" t="s">
        <v>100</v>
      </c>
      <c r="B96" t="s">
        <v>1025</v>
      </c>
      <c r="C96">
        <v>141</v>
      </c>
      <c r="D96" t="s">
        <v>1030</v>
      </c>
      <c r="E96" t="s">
        <v>1051</v>
      </c>
      <c r="F96">
        <v>75</v>
      </c>
      <c r="G96">
        <v>3.9</v>
      </c>
      <c r="H96">
        <f>ROUND(Calls[[#This Row],[Satisfactory Rating]],0)</f>
        <v>4</v>
      </c>
      <c r="I96" t="str" cm="1">
        <f t="array" ref="I96">_xlfn.IFS(Calls[[#This Row],[Duration (Min)]]&lt;=30,"Under 30 mins",Calls[[#This Row],[Duration (Min)]]&lt;=60,"Under 1h",Calls[[#This Row],[Duration (Min)]]&lt;=120,"Under 2",TRUE,"More than 2h")</f>
        <v>More than 2h</v>
      </c>
      <c r="J96">
        <f>IF(MONTH(Calls[[#This Row],[Date of Call]])&lt;=3,YEAR(Calls[[#This Row],[Date of Call]]),YEAR(Calls[[#This Row],[Date of Call]])+1)</f>
        <v>2025</v>
      </c>
      <c r="K96" t="str">
        <f>TEXT(Calls[[#This Row],[Date of Call]],"dddd")</f>
        <v>Sunday</v>
      </c>
      <c r="L96" t="str">
        <f>TEXT(Calls[[#This Row],[Date of Call]],"mmm")</f>
        <v>Jan</v>
      </c>
    </row>
    <row r="97" spans="1:12" x14ac:dyDescent="0.3">
      <c r="A97" t="s">
        <v>101</v>
      </c>
      <c r="B97" t="s">
        <v>1011</v>
      </c>
      <c r="C97">
        <v>149</v>
      </c>
      <c r="D97" t="s">
        <v>1026</v>
      </c>
      <c r="E97" t="s">
        <v>1052</v>
      </c>
      <c r="F97">
        <v>94</v>
      </c>
      <c r="G97">
        <v>3.4</v>
      </c>
      <c r="H97">
        <f>ROUND(Calls[[#This Row],[Satisfactory Rating]],0)</f>
        <v>3</v>
      </c>
      <c r="I97" t="str" cm="1">
        <f t="array" ref="I97">_xlfn.IFS(Calls[[#This Row],[Duration (Min)]]&lt;=30,"Under 30 mins",Calls[[#This Row],[Duration (Min)]]&lt;=60,"Under 1h",Calls[[#This Row],[Duration (Min)]]&lt;=120,"Under 2",TRUE,"More than 2h")</f>
        <v>More than 2h</v>
      </c>
      <c r="J97">
        <f>IF(MONTH(Calls[[#This Row],[Date of Call]])&lt;=3,YEAR(Calls[[#This Row],[Date of Call]]),YEAR(Calls[[#This Row],[Date of Call]])+1)</f>
        <v>2025</v>
      </c>
      <c r="K97" t="str">
        <f>TEXT(Calls[[#This Row],[Date of Call]],"dddd")</f>
        <v>Monday</v>
      </c>
      <c r="L97" t="str">
        <f>TEXT(Calls[[#This Row],[Date of Call]],"mmm")</f>
        <v>Jan</v>
      </c>
    </row>
    <row r="98" spans="1:12" x14ac:dyDescent="0.3">
      <c r="A98" t="s">
        <v>102</v>
      </c>
      <c r="B98" t="s">
        <v>1009</v>
      </c>
      <c r="C98">
        <v>141</v>
      </c>
      <c r="D98" t="s">
        <v>1026</v>
      </c>
      <c r="E98" t="s">
        <v>1052</v>
      </c>
      <c r="F98">
        <v>48</v>
      </c>
      <c r="G98">
        <v>2</v>
      </c>
      <c r="H98">
        <f>ROUND(Calls[[#This Row],[Satisfactory Rating]],0)</f>
        <v>2</v>
      </c>
      <c r="I98" t="str" cm="1">
        <f t="array" ref="I98">_xlfn.IFS(Calls[[#This Row],[Duration (Min)]]&lt;=30,"Under 30 mins",Calls[[#This Row],[Duration (Min)]]&lt;=60,"Under 1h",Calls[[#This Row],[Duration (Min)]]&lt;=120,"Under 2",TRUE,"More than 2h")</f>
        <v>More than 2h</v>
      </c>
      <c r="J98">
        <f>IF(MONTH(Calls[[#This Row],[Date of Call]])&lt;=3,YEAR(Calls[[#This Row],[Date of Call]]),YEAR(Calls[[#This Row],[Date of Call]])+1)</f>
        <v>2025</v>
      </c>
      <c r="K98" t="str">
        <f>TEXT(Calls[[#This Row],[Date of Call]],"dddd")</f>
        <v>Monday</v>
      </c>
      <c r="L98" t="str">
        <f>TEXT(Calls[[#This Row],[Date of Call]],"mmm")</f>
        <v>Jan</v>
      </c>
    </row>
    <row r="99" spans="1:12" x14ac:dyDescent="0.3">
      <c r="A99" t="s">
        <v>103</v>
      </c>
      <c r="B99" t="s">
        <v>1009</v>
      </c>
      <c r="C99">
        <v>110</v>
      </c>
      <c r="D99" t="s">
        <v>1031</v>
      </c>
      <c r="E99" t="s">
        <v>1052</v>
      </c>
      <c r="F99">
        <v>37</v>
      </c>
      <c r="G99">
        <v>3.6</v>
      </c>
      <c r="H99">
        <f>ROUND(Calls[[#This Row],[Satisfactory Rating]],0)</f>
        <v>4</v>
      </c>
      <c r="I99" t="str" cm="1">
        <f t="array" ref="I99">_xlfn.IFS(Calls[[#This Row],[Duration (Min)]]&lt;=30,"Under 30 mins",Calls[[#This Row],[Duration (Min)]]&lt;=60,"Under 1h",Calls[[#This Row],[Duration (Min)]]&lt;=120,"Under 2",TRUE,"More than 2h")</f>
        <v>Under 2</v>
      </c>
      <c r="J99">
        <f>IF(MONTH(Calls[[#This Row],[Date of Call]])&lt;=3,YEAR(Calls[[#This Row],[Date of Call]]),YEAR(Calls[[#This Row],[Date of Call]])+1)</f>
        <v>2025</v>
      </c>
      <c r="K99" t="str">
        <f>TEXT(Calls[[#This Row],[Date of Call]],"dddd")</f>
        <v>Monday</v>
      </c>
      <c r="L99" t="str">
        <f>TEXT(Calls[[#This Row],[Date of Call]],"mmm")</f>
        <v>Jan</v>
      </c>
    </row>
    <row r="100" spans="1:12" x14ac:dyDescent="0.3">
      <c r="A100" t="s">
        <v>104</v>
      </c>
      <c r="B100" t="s">
        <v>1008</v>
      </c>
      <c r="C100">
        <v>119</v>
      </c>
      <c r="D100" t="s">
        <v>1030</v>
      </c>
      <c r="E100" t="s">
        <v>1052</v>
      </c>
      <c r="F100">
        <v>42</v>
      </c>
      <c r="G100">
        <v>4.9000000000000004</v>
      </c>
      <c r="H100">
        <f>ROUND(Calls[[#This Row],[Satisfactory Rating]],0)</f>
        <v>5</v>
      </c>
      <c r="I100" t="str" cm="1">
        <f t="array" ref="I100">_xlfn.IFS(Calls[[#This Row],[Duration (Min)]]&lt;=30,"Under 30 mins",Calls[[#This Row],[Duration (Min)]]&lt;=60,"Under 1h",Calls[[#This Row],[Duration (Min)]]&lt;=120,"Under 2",TRUE,"More than 2h")</f>
        <v>Under 2</v>
      </c>
      <c r="J100">
        <f>IF(MONTH(Calls[[#This Row],[Date of Call]])&lt;=3,YEAR(Calls[[#This Row],[Date of Call]]),YEAR(Calls[[#This Row],[Date of Call]])+1)</f>
        <v>2025</v>
      </c>
      <c r="K100" t="str">
        <f>TEXT(Calls[[#This Row],[Date of Call]],"dddd")</f>
        <v>Monday</v>
      </c>
      <c r="L100" t="str">
        <f>TEXT(Calls[[#This Row],[Date of Call]],"mmm")</f>
        <v>Jan</v>
      </c>
    </row>
    <row r="101" spans="1:12" x14ac:dyDescent="0.3">
      <c r="A101" t="s">
        <v>105</v>
      </c>
      <c r="B101" t="s">
        <v>1016</v>
      </c>
      <c r="C101">
        <v>68</v>
      </c>
      <c r="D101" t="s">
        <v>1028</v>
      </c>
      <c r="E101" t="s">
        <v>1052</v>
      </c>
      <c r="F101">
        <v>122</v>
      </c>
      <c r="G101">
        <v>2.6</v>
      </c>
      <c r="H101">
        <f>ROUND(Calls[[#This Row],[Satisfactory Rating]],0)</f>
        <v>3</v>
      </c>
      <c r="I101" t="str" cm="1">
        <f t="array" ref="I101">_xlfn.IFS(Calls[[#This Row],[Duration (Min)]]&lt;=30,"Under 30 mins",Calls[[#This Row],[Duration (Min)]]&lt;=60,"Under 1h",Calls[[#This Row],[Duration (Min)]]&lt;=120,"Under 2",TRUE,"More than 2h")</f>
        <v>Under 2</v>
      </c>
      <c r="J101">
        <f>IF(MONTH(Calls[[#This Row],[Date of Call]])&lt;=3,YEAR(Calls[[#This Row],[Date of Call]]),YEAR(Calls[[#This Row],[Date of Call]])+1)</f>
        <v>2025</v>
      </c>
      <c r="K101" t="str">
        <f>TEXT(Calls[[#This Row],[Date of Call]],"dddd")</f>
        <v>Monday</v>
      </c>
      <c r="L101" t="str">
        <f>TEXT(Calls[[#This Row],[Date of Call]],"mmm")</f>
        <v>Jan</v>
      </c>
    </row>
    <row r="102" spans="1:12" x14ac:dyDescent="0.3">
      <c r="A102" t="s">
        <v>106</v>
      </c>
      <c r="B102" t="s">
        <v>1007</v>
      </c>
      <c r="C102">
        <v>116</v>
      </c>
      <c r="D102" t="s">
        <v>1032</v>
      </c>
      <c r="E102" t="s">
        <v>1053</v>
      </c>
      <c r="F102">
        <v>146</v>
      </c>
      <c r="G102">
        <v>1.9</v>
      </c>
      <c r="H102">
        <f>ROUND(Calls[[#This Row],[Satisfactory Rating]],0)</f>
        <v>2</v>
      </c>
      <c r="I102" t="str" cm="1">
        <f t="array" ref="I102">_xlfn.IFS(Calls[[#This Row],[Duration (Min)]]&lt;=30,"Under 30 mins",Calls[[#This Row],[Duration (Min)]]&lt;=60,"Under 1h",Calls[[#This Row],[Duration (Min)]]&lt;=120,"Under 2",TRUE,"More than 2h")</f>
        <v>Under 2</v>
      </c>
      <c r="J102">
        <f>IF(MONTH(Calls[[#This Row],[Date of Call]])&lt;=3,YEAR(Calls[[#This Row],[Date of Call]]),YEAR(Calls[[#This Row],[Date of Call]])+1)</f>
        <v>2025</v>
      </c>
      <c r="K102" t="str">
        <f>TEXT(Calls[[#This Row],[Date of Call]],"dddd")</f>
        <v>Tuesday</v>
      </c>
      <c r="L102" t="str">
        <f>TEXT(Calls[[#This Row],[Date of Call]],"mmm")</f>
        <v>Jan</v>
      </c>
    </row>
    <row r="103" spans="1:12" x14ac:dyDescent="0.3">
      <c r="A103" t="s">
        <v>107</v>
      </c>
      <c r="B103" t="s">
        <v>1009</v>
      </c>
      <c r="C103">
        <v>26</v>
      </c>
      <c r="D103" t="s">
        <v>1028</v>
      </c>
      <c r="E103" t="s">
        <v>1053</v>
      </c>
      <c r="F103">
        <v>65</v>
      </c>
      <c r="G103">
        <v>4.0999999999999996</v>
      </c>
      <c r="H103">
        <f>ROUND(Calls[[#This Row],[Satisfactory Rating]],0)</f>
        <v>4</v>
      </c>
      <c r="I103" t="str" cm="1">
        <f t="array" ref="I103">_xlfn.IFS(Calls[[#This Row],[Duration (Min)]]&lt;=30,"Under 30 mins",Calls[[#This Row],[Duration (Min)]]&lt;=60,"Under 1h",Calls[[#This Row],[Duration (Min)]]&lt;=120,"Under 2",TRUE,"More than 2h")</f>
        <v>Under 30 mins</v>
      </c>
      <c r="J103">
        <f>IF(MONTH(Calls[[#This Row],[Date of Call]])&lt;=3,YEAR(Calls[[#This Row],[Date of Call]]),YEAR(Calls[[#This Row],[Date of Call]])+1)</f>
        <v>2025</v>
      </c>
      <c r="K103" t="str">
        <f>TEXT(Calls[[#This Row],[Date of Call]],"dddd")</f>
        <v>Tuesday</v>
      </c>
      <c r="L103" t="str">
        <f>TEXT(Calls[[#This Row],[Date of Call]],"mmm")</f>
        <v>Jan</v>
      </c>
    </row>
    <row r="104" spans="1:12" x14ac:dyDescent="0.3">
      <c r="A104" t="s">
        <v>108</v>
      </c>
      <c r="B104" t="s">
        <v>1014</v>
      </c>
      <c r="C104">
        <v>143</v>
      </c>
      <c r="D104" t="s">
        <v>1028</v>
      </c>
      <c r="E104" t="s">
        <v>1053</v>
      </c>
      <c r="F104">
        <v>91</v>
      </c>
      <c r="G104">
        <v>3</v>
      </c>
      <c r="H104">
        <f>ROUND(Calls[[#This Row],[Satisfactory Rating]],0)</f>
        <v>3</v>
      </c>
      <c r="I104" t="str" cm="1">
        <f t="array" ref="I104">_xlfn.IFS(Calls[[#This Row],[Duration (Min)]]&lt;=30,"Under 30 mins",Calls[[#This Row],[Duration (Min)]]&lt;=60,"Under 1h",Calls[[#This Row],[Duration (Min)]]&lt;=120,"Under 2",TRUE,"More than 2h")</f>
        <v>More than 2h</v>
      </c>
      <c r="J104">
        <f>IF(MONTH(Calls[[#This Row],[Date of Call]])&lt;=3,YEAR(Calls[[#This Row],[Date of Call]]),YEAR(Calls[[#This Row],[Date of Call]])+1)</f>
        <v>2025</v>
      </c>
      <c r="K104" t="str">
        <f>TEXT(Calls[[#This Row],[Date of Call]],"dddd")</f>
        <v>Tuesday</v>
      </c>
      <c r="L104" t="str">
        <f>TEXT(Calls[[#This Row],[Date of Call]],"mmm")</f>
        <v>Jan</v>
      </c>
    </row>
    <row r="105" spans="1:12" x14ac:dyDescent="0.3">
      <c r="A105" t="s">
        <v>109</v>
      </c>
      <c r="B105" t="s">
        <v>1014</v>
      </c>
      <c r="C105">
        <v>27</v>
      </c>
      <c r="D105" t="s">
        <v>1031</v>
      </c>
      <c r="E105" t="s">
        <v>1053</v>
      </c>
      <c r="F105">
        <v>73</v>
      </c>
      <c r="G105">
        <v>2.1</v>
      </c>
      <c r="H105">
        <f>ROUND(Calls[[#This Row],[Satisfactory Rating]],0)</f>
        <v>2</v>
      </c>
      <c r="I105" t="str" cm="1">
        <f t="array" ref="I105">_xlfn.IFS(Calls[[#This Row],[Duration (Min)]]&lt;=30,"Under 30 mins",Calls[[#This Row],[Duration (Min)]]&lt;=60,"Under 1h",Calls[[#This Row],[Duration (Min)]]&lt;=120,"Under 2",TRUE,"More than 2h")</f>
        <v>Under 30 mins</v>
      </c>
      <c r="J105">
        <f>IF(MONTH(Calls[[#This Row],[Date of Call]])&lt;=3,YEAR(Calls[[#This Row],[Date of Call]]),YEAR(Calls[[#This Row],[Date of Call]])+1)</f>
        <v>2025</v>
      </c>
      <c r="K105" t="str">
        <f>TEXT(Calls[[#This Row],[Date of Call]],"dddd")</f>
        <v>Tuesday</v>
      </c>
      <c r="L105" t="str">
        <f>TEXT(Calls[[#This Row],[Date of Call]],"mmm")</f>
        <v>Jan</v>
      </c>
    </row>
    <row r="106" spans="1:12" x14ac:dyDescent="0.3">
      <c r="A106" t="s">
        <v>110</v>
      </c>
      <c r="B106" t="s">
        <v>1016</v>
      </c>
      <c r="C106">
        <v>155</v>
      </c>
      <c r="D106" t="s">
        <v>1029</v>
      </c>
      <c r="E106" t="s">
        <v>1053</v>
      </c>
      <c r="F106">
        <v>105</v>
      </c>
      <c r="G106">
        <v>2.2000000000000002</v>
      </c>
      <c r="H106">
        <f>ROUND(Calls[[#This Row],[Satisfactory Rating]],0)</f>
        <v>2</v>
      </c>
      <c r="I106" t="str" cm="1">
        <f t="array" ref="I106">_xlfn.IFS(Calls[[#This Row],[Duration (Min)]]&lt;=30,"Under 30 mins",Calls[[#This Row],[Duration (Min)]]&lt;=60,"Under 1h",Calls[[#This Row],[Duration (Min)]]&lt;=120,"Under 2",TRUE,"More than 2h")</f>
        <v>More than 2h</v>
      </c>
      <c r="J106">
        <f>IF(MONTH(Calls[[#This Row],[Date of Call]])&lt;=3,YEAR(Calls[[#This Row],[Date of Call]]),YEAR(Calls[[#This Row],[Date of Call]])+1)</f>
        <v>2025</v>
      </c>
      <c r="K106" t="str">
        <f>TEXT(Calls[[#This Row],[Date of Call]],"dddd")</f>
        <v>Tuesday</v>
      </c>
      <c r="L106" t="str">
        <f>TEXT(Calls[[#This Row],[Date of Call]],"mmm")</f>
        <v>Jan</v>
      </c>
    </row>
    <row r="107" spans="1:12" x14ac:dyDescent="0.3">
      <c r="A107" t="s">
        <v>111</v>
      </c>
      <c r="B107" t="s">
        <v>1024</v>
      </c>
      <c r="C107">
        <v>53</v>
      </c>
      <c r="D107" t="s">
        <v>1027</v>
      </c>
      <c r="E107" t="s">
        <v>1054</v>
      </c>
      <c r="F107">
        <v>45</v>
      </c>
      <c r="G107">
        <v>1.5</v>
      </c>
      <c r="H107">
        <f>ROUND(Calls[[#This Row],[Satisfactory Rating]],0)</f>
        <v>2</v>
      </c>
      <c r="I107" t="str" cm="1">
        <f t="array" ref="I107">_xlfn.IFS(Calls[[#This Row],[Duration (Min)]]&lt;=30,"Under 30 mins",Calls[[#This Row],[Duration (Min)]]&lt;=60,"Under 1h",Calls[[#This Row],[Duration (Min)]]&lt;=120,"Under 2",TRUE,"More than 2h")</f>
        <v>Under 1h</v>
      </c>
      <c r="J107">
        <f>IF(MONTH(Calls[[#This Row],[Date of Call]])&lt;=3,YEAR(Calls[[#This Row],[Date of Call]]),YEAR(Calls[[#This Row],[Date of Call]])+1)</f>
        <v>2025</v>
      </c>
      <c r="K107" t="str">
        <f>TEXT(Calls[[#This Row],[Date of Call]],"dddd")</f>
        <v>Wednesday</v>
      </c>
      <c r="L107" t="str">
        <f>TEXT(Calls[[#This Row],[Date of Call]],"mmm")</f>
        <v>Jan</v>
      </c>
    </row>
    <row r="108" spans="1:12" x14ac:dyDescent="0.3">
      <c r="A108" t="s">
        <v>112</v>
      </c>
      <c r="B108" t="s">
        <v>1010</v>
      </c>
      <c r="C108">
        <v>116</v>
      </c>
      <c r="D108" t="s">
        <v>1030</v>
      </c>
      <c r="E108" t="s">
        <v>1054</v>
      </c>
      <c r="F108">
        <v>88</v>
      </c>
      <c r="G108">
        <v>4.5999999999999996</v>
      </c>
      <c r="H108">
        <f>ROUND(Calls[[#This Row],[Satisfactory Rating]],0)</f>
        <v>5</v>
      </c>
      <c r="I108" t="str" cm="1">
        <f t="array" ref="I108">_xlfn.IFS(Calls[[#This Row],[Duration (Min)]]&lt;=30,"Under 30 mins",Calls[[#This Row],[Duration (Min)]]&lt;=60,"Under 1h",Calls[[#This Row],[Duration (Min)]]&lt;=120,"Under 2",TRUE,"More than 2h")</f>
        <v>Under 2</v>
      </c>
      <c r="J108">
        <f>IF(MONTH(Calls[[#This Row],[Date of Call]])&lt;=3,YEAR(Calls[[#This Row],[Date of Call]]),YEAR(Calls[[#This Row],[Date of Call]])+1)</f>
        <v>2025</v>
      </c>
      <c r="K108" t="str">
        <f>TEXT(Calls[[#This Row],[Date of Call]],"dddd")</f>
        <v>Wednesday</v>
      </c>
      <c r="L108" t="str">
        <f>TEXT(Calls[[#This Row],[Date of Call]],"mmm")</f>
        <v>Jan</v>
      </c>
    </row>
    <row r="109" spans="1:12" x14ac:dyDescent="0.3">
      <c r="A109" t="s">
        <v>113</v>
      </c>
      <c r="B109" t="s">
        <v>1013</v>
      </c>
      <c r="C109">
        <v>74</v>
      </c>
      <c r="D109" t="s">
        <v>1026</v>
      </c>
      <c r="E109" t="s">
        <v>1054</v>
      </c>
      <c r="F109">
        <v>60</v>
      </c>
      <c r="G109">
        <v>4.0999999999999996</v>
      </c>
      <c r="H109">
        <f>ROUND(Calls[[#This Row],[Satisfactory Rating]],0)</f>
        <v>4</v>
      </c>
      <c r="I109" t="str" cm="1">
        <f t="array" ref="I109">_xlfn.IFS(Calls[[#This Row],[Duration (Min)]]&lt;=30,"Under 30 mins",Calls[[#This Row],[Duration (Min)]]&lt;=60,"Under 1h",Calls[[#This Row],[Duration (Min)]]&lt;=120,"Under 2",TRUE,"More than 2h")</f>
        <v>Under 2</v>
      </c>
      <c r="J109">
        <f>IF(MONTH(Calls[[#This Row],[Date of Call]])&lt;=3,YEAR(Calls[[#This Row],[Date of Call]]),YEAR(Calls[[#This Row],[Date of Call]])+1)</f>
        <v>2025</v>
      </c>
      <c r="K109" t="str">
        <f>TEXT(Calls[[#This Row],[Date of Call]],"dddd")</f>
        <v>Wednesday</v>
      </c>
      <c r="L109" t="str">
        <f>TEXT(Calls[[#This Row],[Date of Call]],"mmm")</f>
        <v>Jan</v>
      </c>
    </row>
    <row r="110" spans="1:12" x14ac:dyDescent="0.3">
      <c r="A110" t="s">
        <v>114</v>
      </c>
      <c r="B110" t="s">
        <v>1010</v>
      </c>
      <c r="C110">
        <v>84</v>
      </c>
      <c r="D110" t="s">
        <v>1032</v>
      </c>
      <c r="E110" t="s">
        <v>1054</v>
      </c>
      <c r="F110">
        <v>108</v>
      </c>
      <c r="G110">
        <v>4.9000000000000004</v>
      </c>
      <c r="H110">
        <f>ROUND(Calls[[#This Row],[Satisfactory Rating]],0)</f>
        <v>5</v>
      </c>
      <c r="I110" t="str" cm="1">
        <f t="array" ref="I110">_xlfn.IFS(Calls[[#This Row],[Duration (Min)]]&lt;=30,"Under 30 mins",Calls[[#This Row],[Duration (Min)]]&lt;=60,"Under 1h",Calls[[#This Row],[Duration (Min)]]&lt;=120,"Under 2",TRUE,"More than 2h")</f>
        <v>Under 2</v>
      </c>
      <c r="J110">
        <f>IF(MONTH(Calls[[#This Row],[Date of Call]])&lt;=3,YEAR(Calls[[#This Row],[Date of Call]]),YEAR(Calls[[#This Row],[Date of Call]])+1)</f>
        <v>2025</v>
      </c>
      <c r="K110" t="str">
        <f>TEXT(Calls[[#This Row],[Date of Call]],"dddd")</f>
        <v>Wednesday</v>
      </c>
      <c r="L110" t="str">
        <f>TEXT(Calls[[#This Row],[Date of Call]],"mmm")</f>
        <v>Jan</v>
      </c>
    </row>
    <row r="111" spans="1:12" x14ac:dyDescent="0.3">
      <c r="A111" t="s">
        <v>115</v>
      </c>
      <c r="B111" t="s">
        <v>1023</v>
      </c>
      <c r="C111">
        <v>72</v>
      </c>
      <c r="D111" t="s">
        <v>1032</v>
      </c>
      <c r="E111" t="s">
        <v>1054</v>
      </c>
      <c r="F111">
        <v>81</v>
      </c>
      <c r="G111">
        <v>3.7</v>
      </c>
      <c r="H111">
        <f>ROUND(Calls[[#This Row],[Satisfactory Rating]],0)</f>
        <v>4</v>
      </c>
      <c r="I111" t="str" cm="1">
        <f t="array" ref="I111">_xlfn.IFS(Calls[[#This Row],[Duration (Min)]]&lt;=30,"Under 30 mins",Calls[[#This Row],[Duration (Min)]]&lt;=60,"Under 1h",Calls[[#This Row],[Duration (Min)]]&lt;=120,"Under 2",TRUE,"More than 2h")</f>
        <v>Under 2</v>
      </c>
      <c r="J111">
        <f>IF(MONTH(Calls[[#This Row],[Date of Call]])&lt;=3,YEAR(Calls[[#This Row],[Date of Call]]),YEAR(Calls[[#This Row],[Date of Call]])+1)</f>
        <v>2025</v>
      </c>
      <c r="K111" t="str">
        <f>TEXT(Calls[[#This Row],[Date of Call]],"dddd")</f>
        <v>Wednesday</v>
      </c>
      <c r="L111" t="str">
        <f>TEXT(Calls[[#This Row],[Date of Call]],"mmm")</f>
        <v>Jan</v>
      </c>
    </row>
    <row r="112" spans="1:12" x14ac:dyDescent="0.3">
      <c r="A112" t="s">
        <v>116</v>
      </c>
      <c r="B112" t="s">
        <v>1016</v>
      </c>
      <c r="C112">
        <v>141</v>
      </c>
      <c r="D112" t="s">
        <v>1027</v>
      </c>
      <c r="E112" t="s">
        <v>1055</v>
      </c>
      <c r="F112">
        <v>122</v>
      </c>
      <c r="G112">
        <v>3.9</v>
      </c>
      <c r="H112">
        <f>ROUND(Calls[[#This Row],[Satisfactory Rating]],0)</f>
        <v>4</v>
      </c>
      <c r="I112" t="str" cm="1">
        <f t="array" ref="I112">_xlfn.IFS(Calls[[#This Row],[Duration (Min)]]&lt;=30,"Under 30 mins",Calls[[#This Row],[Duration (Min)]]&lt;=60,"Under 1h",Calls[[#This Row],[Duration (Min)]]&lt;=120,"Under 2",TRUE,"More than 2h")</f>
        <v>More than 2h</v>
      </c>
      <c r="J112">
        <f>IF(MONTH(Calls[[#This Row],[Date of Call]])&lt;=3,YEAR(Calls[[#This Row],[Date of Call]]),YEAR(Calls[[#This Row],[Date of Call]])+1)</f>
        <v>2025</v>
      </c>
      <c r="K112" t="str">
        <f>TEXT(Calls[[#This Row],[Date of Call]],"dddd")</f>
        <v>Thursday</v>
      </c>
      <c r="L112" t="str">
        <f>TEXT(Calls[[#This Row],[Date of Call]],"mmm")</f>
        <v>Jan</v>
      </c>
    </row>
    <row r="113" spans="1:12" x14ac:dyDescent="0.3">
      <c r="A113" t="s">
        <v>117</v>
      </c>
      <c r="B113" t="s">
        <v>1022</v>
      </c>
      <c r="C113">
        <v>134</v>
      </c>
      <c r="D113" t="s">
        <v>1028</v>
      </c>
      <c r="E113" t="s">
        <v>1055</v>
      </c>
      <c r="F113">
        <v>47</v>
      </c>
      <c r="G113">
        <v>4.2</v>
      </c>
      <c r="H113">
        <f>ROUND(Calls[[#This Row],[Satisfactory Rating]],0)</f>
        <v>4</v>
      </c>
      <c r="I113" t="str" cm="1">
        <f t="array" ref="I113">_xlfn.IFS(Calls[[#This Row],[Duration (Min)]]&lt;=30,"Under 30 mins",Calls[[#This Row],[Duration (Min)]]&lt;=60,"Under 1h",Calls[[#This Row],[Duration (Min)]]&lt;=120,"Under 2",TRUE,"More than 2h")</f>
        <v>More than 2h</v>
      </c>
      <c r="J113">
        <f>IF(MONTH(Calls[[#This Row],[Date of Call]])&lt;=3,YEAR(Calls[[#This Row],[Date of Call]]),YEAR(Calls[[#This Row],[Date of Call]])+1)</f>
        <v>2025</v>
      </c>
      <c r="K113" t="str">
        <f>TEXT(Calls[[#This Row],[Date of Call]],"dddd")</f>
        <v>Thursday</v>
      </c>
      <c r="L113" t="str">
        <f>TEXT(Calls[[#This Row],[Date of Call]],"mmm")</f>
        <v>Jan</v>
      </c>
    </row>
    <row r="114" spans="1:12" x14ac:dyDescent="0.3">
      <c r="A114" t="s">
        <v>118</v>
      </c>
      <c r="B114" t="s">
        <v>1015</v>
      </c>
      <c r="C114">
        <v>97</v>
      </c>
      <c r="D114" t="s">
        <v>1032</v>
      </c>
      <c r="E114" t="s">
        <v>1055</v>
      </c>
      <c r="F114">
        <v>110</v>
      </c>
      <c r="G114">
        <v>2.6</v>
      </c>
      <c r="H114">
        <f>ROUND(Calls[[#This Row],[Satisfactory Rating]],0)</f>
        <v>3</v>
      </c>
      <c r="I114" t="str" cm="1">
        <f t="array" ref="I114">_xlfn.IFS(Calls[[#This Row],[Duration (Min)]]&lt;=30,"Under 30 mins",Calls[[#This Row],[Duration (Min)]]&lt;=60,"Under 1h",Calls[[#This Row],[Duration (Min)]]&lt;=120,"Under 2",TRUE,"More than 2h")</f>
        <v>Under 2</v>
      </c>
      <c r="J114">
        <f>IF(MONTH(Calls[[#This Row],[Date of Call]])&lt;=3,YEAR(Calls[[#This Row],[Date of Call]]),YEAR(Calls[[#This Row],[Date of Call]])+1)</f>
        <v>2025</v>
      </c>
      <c r="K114" t="str">
        <f>TEXT(Calls[[#This Row],[Date of Call]],"dddd")</f>
        <v>Thursday</v>
      </c>
      <c r="L114" t="str">
        <f>TEXT(Calls[[#This Row],[Date of Call]],"mmm")</f>
        <v>Jan</v>
      </c>
    </row>
    <row r="115" spans="1:12" x14ac:dyDescent="0.3">
      <c r="A115" t="s">
        <v>119</v>
      </c>
      <c r="B115" t="s">
        <v>1006</v>
      </c>
      <c r="C115">
        <v>141</v>
      </c>
      <c r="D115" t="s">
        <v>1026</v>
      </c>
      <c r="E115" t="s">
        <v>1055</v>
      </c>
      <c r="F115">
        <v>116</v>
      </c>
      <c r="G115">
        <v>1.8</v>
      </c>
      <c r="H115">
        <f>ROUND(Calls[[#This Row],[Satisfactory Rating]],0)</f>
        <v>2</v>
      </c>
      <c r="I115" t="str" cm="1">
        <f t="array" ref="I115">_xlfn.IFS(Calls[[#This Row],[Duration (Min)]]&lt;=30,"Under 30 mins",Calls[[#This Row],[Duration (Min)]]&lt;=60,"Under 1h",Calls[[#This Row],[Duration (Min)]]&lt;=120,"Under 2",TRUE,"More than 2h")</f>
        <v>More than 2h</v>
      </c>
      <c r="J115">
        <f>IF(MONTH(Calls[[#This Row],[Date of Call]])&lt;=3,YEAR(Calls[[#This Row],[Date of Call]]),YEAR(Calls[[#This Row],[Date of Call]])+1)</f>
        <v>2025</v>
      </c>
      <c r="K115" t="str">
        <f>TEXT(Calls[[#This Row],[Date of Call]],"dddd")</f>
        <v>Thursday</v>
      </c>
      <c r="L115" t="str">
        <f>TEXT(Calls[[#This Row],[Date of Call]],"mmm")</f>
        <v>Jan</v>
      </c>
    </row>
    <row r="116" spans="1:12" x14ac:dyDescent="0.3">
      <c r="A116" t="s">
        <v>120</v>
      </c>
      <c r="B116" t="s">
        <v>1024</v>
      </c>
      <c r="C116">
        <v>142</v>
      </c>
      <c r="D116" t="s">
        <v>1029</v>
      </c>
      <c r="E116" t="s">
        <v>1055</v>
      </c>
      <c r="F116">
        <v>20</v>
      </c>
      <c r="G116">
        <v>2.2000000000000002</v>
      </c>
      <c r="H116">
        <f>ROUND(Calls[[#This Row],[Satisfactory Rating]],0)</f>
        <v>2</v>
      </c>
      <c r="I116" t="str" cm="1">
        <f t="array" ref="I116">_xlfn.IFS(Calls[[#This Row],[Duration (Min)]]&lt;=30,"Under 30 mins",Calls[[#This Row],[Duration (Min)]]&lt;=60,"Under 1h",Calls[[#This Row],[Duration (Min)]]&lt;=120,"Under 2",TRUE,"More than 2h")</f>
        <v>More than 2h</v>
      </c>
      <c r="J116">
        <f>IF(MONTH(Calls[[#This Row],[Date of Call]])&lt;=3,YEAR(Calls[[#This Row],[Date of Call]]),YEAR(Calls[[#This Row],[Date of Call]])+1)</f>
        <v>2025</v>
      </c>
      <c r="K116" t="str">
        <f>TEXT(Calls[[#This Row],[Date of Call]],"dddd")</f>
        <v>Thursday</v>
      </c>
      <c r="L116" t="str">
        <f>TEXT(Calls[[#This Row],[Date of Call]],"mmm")</f>
        <v>Jan</v>
      </c>
    </row>
    <row r="117" spans="1:12" x14ac:dyDescent="0.3">
      <c r="A117" t="s">
        <v>121</v>
      </c>
      <c r="B117" t="s">
        <v>1020</v>
      </c>
      <c r="C117">
        <v>30</v>
      </c>
      <c r="D117" t="s">
        <v>1028</v>
      </c>
      <c r="E117" t="s">
        <v>1056</v>
      </c>
      <c r="F117">
        <v>132</v>
      </c>
      <c r="G117">
        <v>1.9</v>
      </c>
      <c r="H117">
        <f>ROUND(Calls[[#This Row],[Satisfactory Rating]],0)</f>
        <v>2</v>
      </c>
      <c r="I117" t="str" cm="1">
        <f t="array" ref="I117">_xlfn.IFS(Calls[[#This Row],[Duration (Min)]]&lt;=30,"Under 30 mins",Calls[[#This Row],[Duration (Min)]]&lt;=60,"Under 1h",Calls[[#This Row],[Duration (Min)]]&lt;=120,"Under 2",TRUE,"More than 2h")</f>
        <v>Under 30 mins</v>
      </c>
      <c r="J117">
        <f>IF(MONTH(Calls[[#This Row],[Date of Call]])&lt;=3,YEAR(Calls[[#This Row],[Date of Call]]),YEAR(Calls[[#This Row],[Date of Call]])+1)</f>
        <v>2025</v>
      </c>
      <c r="K117" t="str">
        <f>TEXT(Calls[[#This Row],[Date of Call]],"dddd")</f>
        <v>Friday</v>
      </c>
      <c r="L117" t="str">
        <f>TEXT(Calls[[#This Row],[Date of Call]],"mmm")</f>
        <v>Jan</v>
      </c>
    </row>
    <row r="118" spans="1:12" x14ac:dyDescent="0.3">
      <c r="A118" t="s">
        <v>122</v>
      </c>
      <c r="B118" t="s">
        <v>1016</v>
      </c>
      <c r="C118">
        <v>157</v>
      </c>
      <c r="D118" t="s">
        <v>1030</v>
      </c>
      <c r="E118" t="s">
        <v>1056</v>
      </c>
      <c r="F118">
        <v>103</v>
      </c>
      <c r="G118">
        <v>3.3</v>
      </c>
      <c r="H118">
        <f>ROUND(Calls[[#This Row],[Satisfactory Rating]],0)</f>
        <v>3</v>
      </c>
      <c r="I118" t="str" cm="1">
        <f t="array" ref="I118">_xlfn.IFS(Calls[[#This Row],[Duration (Min)]]&lt;=30,"Under 30 mins",Calls[[#This Row],[Duration (Min)]]&lt;=60,"Under 1h",Calls[[#This Row],[Duration (Min)]]&lt;=120,"Under 2",TRUE,"More than 2h")</f>
        <v>More than 2h</v>
      </c>
      <c r="J118">
        <f>IF(MONTH(Calls[[#This Row],[Date of Call]])&lt;=3,YEAR(Calls[[#This Row],[Date of Call]]),YEAR(Calls[[#This Row],[Date of Call]])+1)</f>
        <v>2025</v>
      </c>
      <c r="K118" t="str">
        <f>TEXT(Calls[[#This Row],[Date of Call]],"dddd")</f>
        <v>Friday</v>
      </c>
      <c r="L118" t="str">
        <f>TEXT(Calls[[#This Row],[Date of Call]],"mmm")</f>
        <v>Jan</v>
      </c>
    </row>
    <row r="119" spans="1:12" x14ac:dyDescent="0.3">
      <c r="A119" t="s">
        <v>123</v>
      </c>
      <c r="B119" t="s">
        <v>1019</v>
      </c>
      <c r="C119">
        <v>58</v>
      </c>
      <c r="D119" t="s">
        <v>1026</v>
      </c>
      <c r="E119" t="s">
        <v>1056</v>
      </c>
      <c r="F119">
        <v>44</v>
      </c>
      <c r="G119">
        <v>4.7</v>
      </c>
      <c r="H119">
        <f>ROUND(Calls[[#This Row],[Satisfactory Rating]],0)</f>
        <v>5</v>
      </c>
      <c r="I119" t="str" cm="1">
        <f t="array" ref="I119">_xlfn.IFS(Calls[[#This Row],[Duration (Min)]]&lt;=30,"Under 30 mins",Calls[[#This Row],[Duration (Min)]]&lt;=60,"Under 1h",Calls[[#This Row],[Duration (Min)]]&lt;=120,"Under 2",TRUE,"More than 2h")</f>
        <v>Under 1h</v>
      </c>
      <c r="J119">
        <f>IF(MONTH(Calls[[#This Row],[Date of Call]])&lt;=3,YEAR(Calls[[#This Row],[Date of Call]]),YEAR(Calls[[#This Row],[Date of Call]])+1)</f>
        <v>2025</v>
      </c>
      <c r="K119" t="str">
        <f>TEXT(Calls[[#This Row],[Date of Call]],"dddd")</f>
        <v>Friday</v>
      </c>
      <c r="L119" t="str">
        <f>TEXT(Calls[[#This Row],[Date of Call]],"mmm")</f>
        <v>Jan</v>
      </c>
    </row>
    <row r="120" spans="1:12" x14ac:dyDescent="0.3">
      <c r="A120" t="s">
        <v>124</v>
      </c>
      <c r="B120" t="s">
        <v>1007</v>
      </c>
      <c r="C120">
        <v>75</v>
      </c>
      <c r="D120" t="s">
        <v>1027</v>
      </c>
      <c r="E120" t="s">
        <v>1056</v>
      </c>
      <c r="F120">
        <v>25</v>
      </c>
      <c r="G120">
        <v>3.8</v>
      </c>
      <c r="H120">
        <f>ROUND(Calls[[#This Row],[Satisfactory Rating]],0)</f>
        <v>4</v>
      </c>
      <c r="I120" t="str" cm="1">
        <f t="array" ref="I120">_xlfn.IFS(Calls[[#This Row],[Duration (Min)]]&lt;=30,"Under 30 mins",Calls[[#This Row],[Duration (Min)]]&lt;=60,"Under 1h",Calls[[#This Row],[Duration (Min)]]&lt;=120,"Under 2",TRUE,"More than 2h")</f>
        <v>Under 2</v>
      </c>
      <c r="J120">
        <f>IF(MONTH(Calls[[#This Row],[Date of Call]])&lt;=3,YEAR(Calls[[#This Row],[Date of Call]]),YEAR(Calls[[#This Row],[Date of Call]])+1)</f>
        <v>2025</v>
      </c>
      <c r="K120" t="str">
        <f>TEXT(Calls[[#This Row],[Date of Call]],"dddd")</f>
        <v>Friday</v>
      </c>
      <c r="L120" t="str">
        <f>TEXT(Calls[[#This Row],[Date of Call]],"mmm")</f>
        <v>Jan</v>
      </c>
    </row>
    <row r="121" spans="1:12" x14ac:dyDescent="0.3">
      <c r="A121" t="s">
        <v>125</v>
      </c>
      <c r="B121" t="s">
        <v>1025</v>
      </c>
      <c r="C121">
        <v>52</v>
      </c>
      <c r="D121" t="s">
        <v>1030</v>
      </c>
      <c r="E121" t="s">
        <v>1056</v>
      </c>
      <c r="F121">
        <v>70</v>
      </c>
      <c r="G121">
        <v>1.5</v>
      </c>
      <c r="H121">
        <f>ROUND(Calls[[#This Row],[Satisfactory Rating]],0)</f>
        <v>2</v>
      </c>
      <c r="I121" t="str" cm="1">
        <f t="array" ref="I121">_xlfn.IFS(Calls[[#This Row],[Duration (Min)]]&lt;=30,"Under 30 mins",Calls[[#This Row],[Duration (Min)]]&lt;=60,"Under 1h",Calls[[#This Row],[Duration (Min)]]&lt;=120,"Under 2",TRUE,"More than 2h")</f>
        <v>Under 1h</v>
      </c>
      <c r="J121">
        <f>IF(MONTH(Calls[[#This Row],[Date of Call]])&lt;=3,YEAR(Calls[[#This Row],[Date of Call]]),YEAR(Calls[[#This Row],[Date of Call]])+1)</f>
        <v>2025</v>
      </c>
      <c r="K121" t="str">
        <f>TEXT(Calls[[#This Row],[Date of Call]],"dddd")</f>
        <v>Friday</v>
      </c>
      <c r="L121" t="str">
        <f>TEXT(Calls[[#This Row],[Date of Call]],"mmm")</f>
        <v>Jan</v>
      </c>
    </row>
    <row r="122" spans="1:12" x14ac:dyDescent="0.3">
      <c r="A122" t="s">
        <v>126</v>
      </c>
      <c r="B122" t="s">
        <v>1023</v>
      </c>
      <c r="C122">
        <v>140</v>
      </c>
      <c r="D122" t="s">
        <v>1028</v>
      </c>
      <c r="E122" t="s">
        <v>1057</v>
      </c>
      <c r="F122">
        <v>57</v>
      </c>
      <c r="G122">
        <v>3.1</v>
      </c>
      <c r="H122">
        <f>ROUND(Calls[[#This Row],[Satisfactory Rating]],0)</f>
        <v>3</v>
      </c>
      <c r="I122" t="str" cm="1">
        <f t="array" ref="I122">_xlfn.IFS(Calls[[#This Row],[Duration (Min)]]&lt;=30,"Under 30 mins",Calls[[#This Row],[Duration (Min)]]&lt;=60,"Under 1h",Calls[[#This Row],[Duration (Min)]]&lt;=120,"Under 2",TRUE,"More than 2h")</f>
        <v>More than 2h</v>
      </c>
      <c r="J122">
        <f>IF(MONTH(Calls[[#This Row],[Date of Call]])&lt;=3,YEAR(Calls[[#This Row],[Date of Call]]),YEAR(Calls[[#This Row],[Date of Call]])+1)</f>
        <v>2025</v>
      </c>
      <c r="K122" t="str">
        <f>TEXT(Calls[[#This Row],[Date of Call]],"dddd")</f>
        <v>Saturday</v>
      </c>
      <c r="L122" t="str">
        <f>TEXT(Calls[[#This Row],[Date of Call]],"mmm")</f>
        <v>Jan</v>
      </c>
    </row>
    <row r="123" spans="1:12" x14ac:dyDescent="0.3">
      <c r="A123" t="s">
        <v>127</v>
      </c>
      <c r="B123" t="s">
        <v>1019</v>
      </c>
      <c r="C123">
        <v>81</v>
      </c>
      <c r="D123" t="s">
        <v>1031</v>
      </c>
      <c r="E123" t="s">
        <v>1057</v>
      </c>
      <c r="F123">
        <v>121</v>
      </c>
      <c r="G123">
        <v>4.7</v>
      </c>
      <c r="H123">
        <f>ROUND(Calls[[#This Row],[Satisfactory Rating]],0)</f>
        <v>5</v>
      </c>
      <c r="I123" t="str" cm="1">
        <f t="array" ref="I123">_xlfn.IFS(Calls[[#This Row],[Duration (Min)]]&lt;=30,"Under 30 mins",Calls[[#This Row],[Duration (Min)]]&lt;=60,"Under 1h",Calls[[#This Row],[Duration (Min)]]&lt;=120,"Under 2",TRUE,"More than 2h")</f>
        <v>Under 2</v>
      </c>
      <c r="J123">
        <f>IF(MONTH(Calls[[#This Row],[Date of Call]])&lt;=3,YEAR(Calls[[#This Row],[Date of Call]]),YEAR(Calls[[#This Row],[Date of Call]])+1)</f>
        <v>2025</v>
      </c>
      <c r="K123" t="str">
        <f>TEXT(Calls[[#This Row],[Date of Call]],"dddd")</f>
        <v>Saturday</v>
      </c>
      <c r="L123" t="str">
        <f>TEXT(Calls[[#This Row],[Date of Call]],"mmm")</f>
        <v>Jan</v>
      </c>
    </row>
    <row r="124" spans="1:12" x14ac:dyDescent="0.3">
      <c r="A124" t="s">
        <v>128</v>
      </c>
      <c r="B124" t="s">
        <v>1023</v>
      </c>
      <c r="C124">
        <v>87</v>
      </c>
      <c r="D124" t="s">
        <v>1030</v>
      </c>
      <c r="E124" t="s">
        <v>1057</v>
      </c>
      <c r="F124">
        <v>104</v>
      </c>
      <c r="G124">
        <v>4.8</v>
      </c>
      <c r="H124">
        <f>ROUND(Calls[[#This Row],[Satisfactory Rating]],0)</f>
        <v>5</v>
      </c>
      <c r="I124" t="str" cm="1">
        <f t="array" ref="I124">_xlfn.IFS(Calls[[#This Row],[Duration (Min)]]&lt;=30,"Under 30 mins",Calls[[#This Row],[Duration (Min)]]&lt;=60,"Under 1h",Calls[[#This Row],[Duration (Min)]]&lt;=120,"Under 2",TRUE,"More than 2h")</f>
        <v>Under 2</v>
      </c>
      <c r="J124">
        <f>IF(MONTH(Calls[[#This Row],[Date of Call]])&lt;=3,YEAR(Calls[[#This Row],[Date of Call]]),YEAR(Calls[[#This Row],[Date of Call]])+1)</f>
        <v>2025</v>
      </c>
      <c r="K124" t="str">
        <f>TEXT(Calls[[#This Row],[Date of Call]],"dddd")</f>
        <v>Saturday</v>
      </c>
      <c r="L124" t="str">
        <f>TEXT(Calls[[#This Row],[Date of Call]],"mmm")</f>
        <v>Jan</v>
      </c>
    </row>
    <row r="125" spans="1:12" x14ac:dyDescent="0.3">
      <c r="A125" t="s">
        <v>129</v>
      </c>
      <c r="B125" t="s">
        <v>1011</v>
      </c>
      <c r="C125">
        <v>135</v>
      </c>
      <c r="D125" t="s">
        <v>1030</v>
      </c>
      <c r="E125" t="s">
        <v>1057</v>
      </c>
      <c r="F125">
        <v>30</v>
      </c>
      <c r="G125">
        <v>1.2</v>
      </c>
      <c r="H125">
        <f>ROUND(Calls[[#This Row],[Satisfactory Rating]],0)</f>
        <v>1</v>
      </c>
      <c r="I125" t="str" cm="1">
        <f t="array" ref="I125">_xlfn.IFS(Calls[[#This Row],[Duration (Min)]]&lt;=30,"Under 30 mins",Calls[[#This Row],[Duration (Min)]]&lt;=60,"Under 1h",Calls[[#This Row],[Duration (Min)]]&lt;=120,"Under 2",TRUE,"More than 2h")</f>
        <v>More than 2h</v>
      </c>
      <c r="J125">
        <f>IF(MONTH(Calls[[#This Row],[Date of Call]])&lt;=3,YEAR(Calls[[#This Row],[Date of Call]]),YEAR(Calls[[#This Row],[Date of Call]])+1)</f>
        <v>2025</v>
      </c>
      <c r="K125" t="str">
        <f>TEXT(Calls[[#This Row],[Date of Call]],"dddd")</f>
        <v>Saturday</v>
      </c>
      <c r="L125" t="str">
        <f>TEXT(Calls[[#This Row],[Date of Call]],"mmm")</f>
        <v>Jan</v>
      </c>
    </row>
    <row r="126" spans="1:12" x14ac:dyDescent="0.3">
      <c r="A126" t="s">
        <v>130</v>
      </c>
      <c r="B126" t="s">
        <v>1008</v>
      </c>
      <c r="C126">
        <v>122</v>
      </c>
      <c r="D126" t="s">
        <v>1028</v>
      </c>
      <c r="E126" t="s">
        <v>1057</v>
      </c>
      <c r="F126">
        <v>61</v>
      </c>
      <c r="G126">
        <v>5</v>
      </c>
      <c r="H126">
        <f>ROUND(Calls[[#This Row],[Satisfactory Rating]],0)</f>
        <v>5</v>
      </c>
      <c r="I126" t="str" cm="1">
        <f t="array" ref="I126">_xlfn.IFS(Calls[[#This Row],[Duration (Min)]]&lt;=30,"Under 30 mins",Calls[[#This Row],[Duration (Min)]]&lt;=60,"Under 1h",Calls[[#This Row],[Duration (Min)]]&lt;=120,"Under 2",TRUE,"More than 2h")</f>
        <v>More than 2h</v>
      </c>
      <c r="J126">
        <f>IF(MONTH(Calls[[#This Row],[Date of Call]])&lt;=3,YEAR(Calls[[#This Row],[Date of Call]]),YEAR(Calls[[#This Row],[Date of Call]])+1)</f>
        <v>2025</v>
      </c>
      <c r="K126" t="str">
        <f>TEXT(Calls[[#This Row],[Date of Call]],"dddd")</f>
        <v>Saturday</v>
      </c>
      <c r="L126" t="str">
        <f>TEXT(Calls[[#This Row],[Date of Call]],"mmm")</f>
        <v>Jan</v>
      </c>
    </row>
    <row r="127" spans="1:12" x14ac:dyDescent="0.3">
      <c r="A127" t="s">
        <v>131</v>
      </c>
      <c r="B127" t="s">
        <v>1024</v>
      </c>
      <c r="C127">
        <v>31</v>
      </c>
      <c r="D127" t="s">
        <v>1027</v>
      </c>
      <c r="E127" t="s">
        <v>1058</v>
      </c>
      <c r="F127">
        <v>117</v>
      </c>
      <c r="G127">
        <v>1.8</v>
      </c>
      <c r="H127">
        <f>ROUND(Calls[[#This Row],[Satisfactory Rating]],0)</f>
        <v>2</v>
      </c>
      <c r="I127" t="str" cm="1">
        <f t="array" ref="I127">_xlfn.IFS(Calls[[#This Row],[Duration (Min)]]&lt;=30,"Under 30 mins",Calls[[#This Row],[Duration (Min)]]&lt;=60,"Under 1h",Calls[[#This Row],[Duration (Min)]]&lt;=120,"Under 2",TRUE,"More than 2h")</f>
        <v>Under 1h</v>
      </c>
      <c r="J127">
        <f>IF(MONTH(Calls[[#This Row],[Date of Call]])&lt;=3,YEAR(Calls[[#This Row],[Date of Call]]),YEAR(Calls[[#This Row],[Date of Call]])+1)</f>
        <v>2025</v>
      </c>
      <c r="K127" t="str">
        <f>TEXT(Calls[[#This Row],[Date of Call]],"dddd")</f>
        <v>Sunday</v>
      </c>
      <c r="L127" t="str">
        <f>TEXT(Calls[[#This Row],[Date of Call]],"mmm")</f>
        <v>Jan</v>
      </c>
    </row>
    <row r="128" spans="1:12" x14ac:dyDescent="0.3">
      <c r="A128" t="s">
        <v>132</v>
      </c>
      <c r="B128" t="s">
        <v>1024</v>
      </c>
      <c r="C128">
        <v>125</v>
      </c>
      <c r="D128" t="s">
        <v>1031</v>
      </c>
      <c r="E128" t="s">
        <v>1058</v>
      </c>
      <c r="F128">
        <v>32</v>
      </c>
      <c r="G128">
        <v>1.3</v>
      </c>
      <c r="H128">
        <f>ROUND(Calls[[#This Row],[Satisfactory Rating]],0)</f>
        <v>1</v>
      </c>
      <c r="I128" t="str" cm="1">
        <f t="array" ref="I128">_xlfn.IFS(Calls[[#This Row],[Duration (Min)]]&lt;=30,"Under 30 mins",Calls[[#This Row],[Duration (Min)]]&lt;=60,"Under 1h",Calls[[#This Row],[Duration (Min)]]&lt;=120,"Under 2",TRUE,"More than 2h")</f>
        <v>More than 2h</v>
      </c>
      <c r="J128">
        <f>IF(MONTH(Calls[[#This Row],[Date of Call]])&lt;=3,YEAR(Calls[[#This Row],[Date of Call]]),YEAR(Calls[[#This Row],[Date of Call]])+1)</f>
        <v>2025</v>
      </c>
      <c r="K128" t="str">
        <f>TEXT(Calls[[#This Row],[Date of Call]],"dddd")</f>
        <v>Sunday</v>
      </c>
      <c r="L128" t="str">
        <f>TEXT(Calls[[#This Row],[Date of Call]],"mmm")</f>
        <v>Jan</v>
      </c>
    </row>
    <row r="129" spans="1:12" x14ac:dyDescent="0.3">
      <c r="A129" t="s">
        <v>133</v>
      </c>
      <c r="B129" t="s">
        <v>1014</v>
      </c>
      <c r="C129">
        <v>69</v>
      </c>
      <c r="D129" t="s">
        <v>1030</v>
      </c>
      <c r="E129" t="s">
        <v>1058</v>
      </c>
      <c r="F129">
        <v>137</v>
      </c>
      <c r="G129">
        <v>1.7</v>
      </c>
      <c r="H129">
        <f>ROUND(Calls[[#This Row],[Satisfactory Rating]],0)</f>
        <v>2</v>
      </c>
      <c r="I129" t="str" cm="1">
        <f t="array" ref="I129">_xlfn.IFS(Calls[[#This Row],[Duration (Min)]]&lt;=30,"Under 30 mins",Calls[[#This Row],[Duration (Min)]]&lt;=60,"Under 1h",Calls[[#This Row],[Duration (Min)]]&lt;=120,"Under 2",TRUE,"More than 2h")</f>
        <v>Under 2</v>
      </c>
      <c r="J129">
        <f>IF(MONTH(Calls[[#This Row],[Date of Call]])&lt;=3,YEAR(Calls[[#This Row],[Date of Call]]),YEAR(Calls[[#This Row],[Date of Call]])+1)</f>
        <v>2025</v>
      </c>
      <c r="K129" t="str">
        <f>TEXT(Calls[[#This Row],[Date of Call]],"dddd")</f>
        <v>Sunday</v>
      </c>
      <c r="L129" t="str">
        <f>TEXT(Calls[[#This Row],[Date of Call]],"mmm")</f>
        <v>Jan</v>
      </c>
    </row>
    <row r="130" spans="1:12" x14ac:dyDescent="0.3">
      <c r="A130" t="s">
        <v>134</v>
      </c>
      <c r="B130" t="s">
        <v>1022</v>
      </c>
      <c r="C130">
        <v>116</v>
      </c>
      <c r="D130" t="s">
        <v>1027</v>
      </c>
      <c r="E130" t="s">
        <v>1058</v>
      </c>
      <c r="F130">
        <v>81</v>
      </c>
      <c r="G130">
        <v>4.8</v>
      </c>
      <c r="H130">
        <f>ROUND(Calls[[#This Row],[Satisfactory Rating]],0)</f>
        <v>5</v>
      </c>
      <c r="I130" t="str" cm="1">
        <f t="array" ref="I130">_xlfn.IFS(Calls[[#This Row],[Duration (Min)]]&lt;=30,"Under 30 mins",Calls[[#This Row],[Duration (Min)]]&lt;=60,"Under 1h",Calls[[#This Row],[Duration (Min)]]&lt;=120,"Under 2",TRUE,"More than 2h")</f>
        <v>Under 2</v>
      </c>
      <c r="J130">
        <f>IF(MONTH(Calls[[#This Row],[Date of Call]])&lt;=3,YEAR(Calls[[#This Row],[Date of Call]]),YEAR(Calls[[#This Row],[Date of Call]])+1)</f>
        <v>2025</v>
      </c>
      <c r="K130" t="str">
        <f>TEXT(Calls[[#This Row],[Date of Call]],"dddd")</f>
        <v>Sunday</v>
      </c>
      <c r="L130" t="str">
        <f>TEXT(Calls[[#This Row],[Date of Call]],"mmm")</f>
        <v>Jan</v>
      </c>
    </row>
    <row r="131" spans="1:12" x14ac:dyDescent="0.3">
      <c r="A131" t="s">
        <v>135</v>
      </c>
      <c r="B131" t="s">
        <v>1016</v>
      </c>
      <c r="C131">
        <v>48</v>
      </c>
      <c r="D131" t="s">
        <v>1029</v>
      </c>
      <c r="E131" t="s">
        <v>1058</v>
      </c>
      <c r="F131">
        <v>90</v>
      </c>
      <c r="G131">
        <v>2.2000000000000002</v>
      </c>
      <c r="H131">
        <f>ROUND(Calls[[#This Row],[Satisfactory Rating]],0)</f>
        <v>2</v>
      </c>
      <c r="I131" t="str" cm="1">
        <f t="array" ref="I131">_xlfn.IFS(Calls[[#This Row],[Duration (Min)]]&lt;=30,"Under 30 mins",Calls[[#This Row],[Duration (Min)]]&lt;=60,"Under 1h",Calls[[#This Row],[Duration (Min)]]&lt;=120,"Under 2",TRUE,"More than 2h")</f>
        <v>Under 1h</v>
      </c>
      <c r="J131">
        <f>IF(MONTH(Calls[[#This Row],[Date of Call]])&lt;=3,YEAR(Calls[[#This Row],[Date of Call]]),YEAR(Calls[[#This Row],[Date of Call]])+1)</f>
        <v>2025</v>
      </c>
      <c r="K131" t="str">
        <f>TEXT(Calls[[#This Row],[Date of Call]],"dddd")</f>
        <v>Sunday</v>
      </c>
      <c r="L131" t="str">
        <f>TEXT(Calls[[#This Row],[Date of Call]],"mmm")</f>
        <v>Jan</v>
      </c>
    </row>
    <row r="132" spans="1:12" x14ac:dyDescent="0.3">
      <c r="A132" t="s">
        <v>136</v>
      </c>
      <c r="B132" t="s">
        <v>1015</v>
      </c>
      <c r="C132">
        <v>69</v>
      </c>
      <c r="D132" t="s">
        <v>1031</v>
      </c>
      <c r="E132" t="s">
        <v>1059</v>
      </c>
      <c r="F132">
        <v>54</v>
      </c>
      <c r="G132">
        <v>2.2000000000000002</v>
      </c>
      <c r="H132">
        <f>ROUND(Calls[[#This Row],[Satisfactory Rating]],0)</f>
        <v>2</v>
      </c>
      <c r="I132" t="str" cm="1">
        <f t="array" ref="I132">_xlfn.IFS(Calls[[#This Row],[Duration (Min)]]&lt;=30,"Under 30 mins",Calls[[#This Row],[Duration (Min)]]&lt;=60,"Under 1h",Calls[[#This Row],[Duration (Min)]]&lt;=120,"Under 2",TRUE,"More than 2h")</f>
        <v>Under 2</v>
      </c>
      <c r="J132">
        <f>IF(MONTH(Calls[[#This Row],[Date of Call]])&lt;=3,YEAR(Calls[[#This Row],[Date of Call]]),YEAR(Calls[[#This Row],[Date of Call]])+1)</f>
        <v>2025</v>
      </c>
      <c r="K132" t="str">
        <f>TEXT(Calls[[#This Row],[Date of Call]],"dddd")</f>
        <v>Monday</v>
      </c>
      <c r="L132" t="str">
        <f>TEXT(Calls[[#This Row],[Date of Call]],"mmm")</f>
        <v>Jan</v>
      </c>
    </row>
    <row r="133" spans="1:12" x14ac:dyDescent="0.3">
      <c r="A133" t="s">
        <v>137</v>
      </c>
      <c r="B133" t="s">
        <v>1020</v>
      </c>
      <c r="C133">
        <v>78</v>
      </c>
      <c r="D133" t="s">
        <v>1028</v>
      </c>
      <c r="E133" t="s">
        <v>1059</v>
      </c>
      <c r="F133">
        <v>25</v>
      </c>
      <c r="G133">
        <v>4.8</v>
      </c>
      <c r="H133">
        <f>ROUND(Calls[[#This Row],[Satisfactory Rating]],0)</f>
        <v>5</v>
      </c>
      <c r="I133" t="str" cm="1">
        <f t="array" ref="I133">_xlfn.IFS(Calls[[#This Row],[Duration (Min)]]&lt;=30,"Under 30 mins",Calls[[#This Row],[Duration (Min)]]&lt;=60,"Under 1h",Calls[[#This Row],[Duration (Min)]]&lt;=120,"Under 2",TRUE,"More than 2h")</f>
        <v>Under 2</v>
      </c>
      <c r="J133">
        <f>IF(MONTH(Calls[[#This Row],[Date of Call]])&lt;=3,YEAR(Calls[[#This Row],[Date of Call]]),YEAR(Calls[[#This Row],[Date of Call]])+1)</f>
        <v>2025</v>
      </c>
      <c r="K133" t="str">
        <f>TEXT(Calls[[#This Row],[Date of Call]],"dddd")</f>
        <v>Monday</v>
      </c>
      <c r="L133" t="str">
        <f>TEXT(Calls[[#This Row],[Date of Call]],"mmm")</f>
        <v>Jan</v>
      </c>
    </row>
    <row r="134" spans="1:12" x14ac:dyDescent="0.3">
      <c r="A134" t="s">
        <v>138</v>
      </c>
      <c r="B134" t="s">
        <v>1009</v>
      </c>
      <c r="C134">
        <v>150</v>
      </c>
      <c r="D134" t="s">
        <v>1027</v>
      </c>
      <c r="E134" t="s">
        <v>1059</v>
      </c>
      <c r="F134">
        <v>21</v>
      </c>
      <c r="G134">
        <v>3.3</v>
      </c>
      <c r="H134">
        <f>ROUND(Calls[[#This Row],[Satisfactory Rating]],0)</f>
        <v>3</v>
      </c>
      <c r="I134" t="str" cm="1">
        <f t="array" ref="I134">_xlfn.IFS(Calls[[#This Row],[Duration (Min)]]&lt;=30,"Under 30 mins",Calls[[#This Row],[Duration (Min)]]&lt;=60,"Under 1h",Calls[[#This Row],[Duration (Min)]]&lt;=120,"Under 2",TRUE,"More than 2h")</f>
        <v>More than 2h</v>
      </c>
      <c r="J134">
        <f>IF(MONTH(Calls[[#This Row],[Date of Call]])&lt;=3,YEAR(Calls[[#This Row],[Date of Call]]),YEAR(Calls[[#This Row],[Date of Call]])+1)</f>
        <v>2025</v>
      </c>
      <c r="K134" t="str">
        <f>TEXT(Calls[[#This Row],[Date of Call]],"dddd")</f>
        <v>Monday</v>
      </c>
      <c r="L134" t="str">
        <f>TEXT(Calls[[#This Row],[Date of Call]],"mmm")</f>
        <v>Jan</v>
      </c>
    </row>
    <row r="135" spans="1:12" x14ac:dyDescent="0.3">
      <c r="A135" t="s">
        <v>139</v>
      </c>
      <c r="B135" t="s">
        <v>1009</v>
      </c>
      <c r="C135">
        <v>34</v>
      </c>
      <c r="D135" t="s">
        <v>1028</v>
      </c>
      <c r="E135" t="s">
        <v>1059</v>
      </c>
      <c r="F135">
        <v>114</v>
      </c>
      <c r="G135">
        <v>3</v>
      </c>
      <c r="H135">
        <f>ROUND(Calls[[#This Row],[Satisfactory Rating]],0)</f>
        <v>3</v>
      </c>
      <c r="I135" t="str" cm="1">
        <f t="array" ref="I135">_xlfn.IFS(Calls[[#This Row],[Duration (Min)]]&lt;=30,"Under 30 mins",Calls[[#This Row],[Duration (Min)]]&lt;=60,"Under 1h",Calls[[#This Row],[Duration (Min)]]&lt;=120,"Under 2",TRUE,"More than 2h")</f>
        <v>Under 1h</v>
      </c>
      <c r="J135">
        <f>IF(MONTH(Calls[[#This Row],[Date of Call]])&lt;=3,YEAR(Calls[[#This Row],[Date of Call]]),YEAR(Calls[[#This Row],[Date of Call]])+1)</f>
        <v>2025</v>
      </c>
      <c r="K135" t="str">
        <f>TEXT(Calls[[#This Row],[Date of Call]],"dddd")</f>
        <v>Monday</v>
      </c>
      <c r="L135" t="str">
        <f>TEXT(Calls[[#This Row],[Date of Call]],"mmm")</f>
        <v>Jan</v>
      </c>
    </row>
    <row r="136" spans="1:12" x14ac:dyDescent="0.3">
      <c r="A136" t="s">
        <v>140</v>
      </c>
      <c r="B136" t="s">
        <v>1024</v>
      </c>
      <c r="C136">
        <v>156</v>
      </c>
      <c r="D136" t="s">
        <v>1030</v>
      </c>
      <c r="E136" t="s">
        <v>1059</v>
      </c>
      <c r="F136">
        <v>51</v>
      </c>
      <c r="G136">
        <v>1.5</v>
      </c>
      <c r="H136">
        <f>ROUND(Calls[[#This Row],[Satisfactory Rating]],0)</f>
        <v>2</v>
      </c>
      <c r="I136" t="str" cm="1">
        <f t="array" ref="I136">_xlfn.IFS(Calls[[#This Row],[Duration (Min)]]&lt;=30,"Under 30 mins",Calls[[#This Row],[Duration (Min)]]&lt;=60,"Under 1h",Calls[[#This Row],[Duration (Min)]]&lt;=120,"Under 2",TRUE,"More than 2h")</f>
        <v>More than 2h</v>
      </c>
      <c r="J136">
        <f>IF(MONTH(Calls[[#This Row],[Date of Call]])&lt;=3,YEAR(Calls[[#This Row],[Date of Call]]),YEAR(Calls[[#This Row],[Date of Call]])+1)</f>
        <v>2025</v>
      </c>
      <c r="K136" t="str">
        <f>TEXT(Calls[[#This Row],[Date of Call]],"dddd")</f>
        <v>Monday</v>
      </c>
      <c r="L136" t="str">
        <f>TEXT(Calls[[#This Row],[Date of Call]],"mmm")</f>
        <v>Jan</v>
      </c>
    </row>
    <row r="137" spans="1:12" x14ac:dyDescent="0.3">
      <c r="A137" t="s">
        <v>141</v>
      </c>
      <c r="B137" t="s">
        <v>1010</v>
      </c>
      <c r="C137">
        <v>67</v>
      </c>
      <c r="D137" t="s">
        <v>1029</v>
      </c>
      <c r="E137" t="s">
        <v>1060</v>
      </c>
      <c r="F137">
        <v>42</v>
      </c>
      <c r="G137">
        <v>1.1000000000000001</v>
      </c>
      <c r="H137">
        <f>ROUND(Calls[[#This Row],[Satisfactory Rating]],0)</f>
        <v>1</v>
      </c>
      <c r="I137" t="str" cm="1">
        <f t="array" ref="I137">_xlfn.IFS(Calls[[#This Row],[Duration (Min)]]&lt;=30,"Under 30 mins",Calls[[#This Row],[Duration (Min)]]&lt;=60,"Under 1h",Calls[[#This Row],[Duration (Min)]]&lt;=120,"Under 2",TRUE,"More than 2h")</f>
        <v>Under 2</v>
      </c>
      <c r="J137">
        <f>IF(MONTH(Calls[[#This Row],[Date of Call]])&lt;=3,YEAR(Calls[[#This Row],[Date of Call]]),YEAR(Calls[[#This Row],[Date of Call]])+1)</f>
        <v>2025</v>
      </c>
      <c r="K137" t="str">
        <f>TEXT(Calls[[#This Row],[Date of Call]],"dddd")</f>
        <v>Tuesday</v>
      </c>
      <c r="L137" t="str">
        <f>TEXT(Calls[[#This Row],[Date of Call]],"mmm")</f>
        <v>Jan</v>
      </c>
    </row>
    <row r="138" spans="1:12" x14ac:dyDescent="0.3">
      <c r="A138" t="s">
        <v>142</v>
      </c>
      <c r="B138" t="s">
        <v>1024</v>
      </c>
      <c r="C138">
        <v>146</v>
      </c>
      <c r="D138" t="s">
        <v>1026</v>
      </c>
      <c r="E138" t="s">
        <v>1060</v>
      </c>
      <c r="F138">
        <v>122</v>
      </c>
      <c r="G138">
        <v>2.6</v>
      </c>
      <c r="H138">
        <f>ROUND(Calls[[#This Row],[Satisfactory Rating]],0)</f>
        <v>3</v>
      </c>
      <c r="I138" t="str" cm="1">
        <f t="array" ref="I138">_xlfn.IFS(Calls[[#This Row],[Duration (Min)]]&lt;=30,"Under 30 mins",Calls[[#This Row],[Duration (Min)]]&lt;=60,"Under 1h",Calls[[#This Row],[Duration (Min)]]&lt;=120,"Under 2",TRUE,"More than 2h")</f>
        <v>More than 2h</v>
      </c>
      <c r="J138">
        <f>IF(MONTH(Calls[[#This Row],[Date of Call]])&lt;=3,YEAR(Calls[[#This Row],[Date of Call]]),YEAR(Calls[[#This Row],[Date of Call]])+1)</f>
        <v>2025</v>
      </c>
      <c r="K138" t="str">
        <f>TEXT(Calls[[#This Row],[Date of Call]],"dddd")</f>
        <v>Tuesday</v>
      </c>
      <c r="L138" t="str">
        <f>TEXT(Calls[[#This Row],[Date of Call]],"mmm")</f>
        <v>Jan</v>
      </c>
    </row>
    <row r="139" spans="1:12" x14ac:dyDescent="0.3">
      <c r="A139" t="s">
        <v>143</v>
      </c>
      <c r="B139" t="s">
        <v>1009</v>
      </c>
      <c r="C139">
        <v>158</v>
      </c>
      <c r="D139" t="s">
        <v>1026</v>
      </c>
      <c r="E139" t="s">
        <v>1060</v>
      </c>
      <c r="F139">
        <v>54</v>
      </c>
      <c r="G139">
        <v>1.2</v>
      </c>
      <c r="H139">
        <f>ROUND(Calls[[#This Row],[Satisfactory Rating]],0)</f>
        <v>1</v>
      </c>
      <c r="I139" t="str" cm="1">
        <f t="array" ref="I139">_xlfn.IFS(Calls[[#This Row],[Duration (Min)]]&lt;=30,"Under 30 mins",Calls[[#This Row],[Duration (Min)]]&lt;=60,"Under 1h",Calls[[#This Row],[Duration (Min)]]&lt;=120,"Under 2",TRUE,"More than 2h")</f>
        <v>More than 2h</v>
      </c>
      <c r="J139">
        <f>IF(MONTH(Calls[[#This Row],[Date of Call]])&lt;=3,YEAR(Calls[[#This Row],[Date of Call]]),YEAR(Calls[[#This Row],[Date of Call]])+1)</f>
        <v>2025</v>
      </c>
      <c r="K139" t="str">
        <f>TEXT(Calls[[#This Row],[Date of Call]],"dddd")</f>
        <v>Tuesday</v>
      </c>
      <c r="L139" t="str">
        <f>TEXT(Calls[[#This Row],[Date of Call]],"mmm")</f>
        <v>Jan</v>
      </c>
    </row>
    <row r="140" spans="1:12" x14ac:dyDescent="0.3">
      <c r="A140" t="s">
        <v>144</v>
      </c>
      <c r="B140" t="s">
        <v>1020</v>
      </c>
      <c r="C140">
        <v>152</v>
      </c>
      <c r="D140" t="s">
        <v>1028</v>
      </c>
      <c r="E140" t="s">
        <v>1060</v>
      </c>
      <c r="F140">
        <v>132</v>
      </c>
      <c r="G140">
        <v>3.3</v>
      </c>
      <c r="H140">
        <f>ROUND(Calls[[#This Row],[Satisfactory Rating]],0)</f>
        <v>3</v>
      </c>
      <c r="I140" t="str" cm="1">
        <f t="array" ref="I140">_xlfn.IFS(Calls[[#This Row],[Duration (Min)]]&lt;=30,"Under 30 mins",Calls[[#This Row],[Duration (Min)]]&lt;=60,"Under 1h",Calls[[#This Row],[Duration (Min)]]&lt;=120,"Under 2",TRUE,"More than 2h")</f>
        <v>More than 2h</v>
      </c>
      <c r="J140">
        <f>IF(MONTH(Calls[[#This Row],[Date of Call]])&lt;=3,YEAR(Calls[[#This Row],[Date of Call]]),YEAR(Calls[[#This Row],[Date of Call]])+1)</f>
        <v>2025</v>
      </c>
      <c r="K140" t="str">
        <f>TEXT(Calls[[#This Row],[Date of Call]],"dddd")</f>
        <v>Tuesday</v>
      </c>
      <c r="L140" t="str">
        <f>TEXT(Calls[[#This Row],[Date of Call]],"mmm")</f>
        <v>Jan</v>
      </c>
    </row>
    <row r="141" spans="1:12" x14ac:dyDescent="0.3">
      <c r="A141" t="s">
        <v>145</v>
      </c>
      <c r="B141" t="s">
        <v>1009</v>
      </c>
      <c r="C141">
        <v>88</v>
      </c>
      <c r="D141" t="s">
        <v>1031</v>
      </c>
      <c r="E141" t="s">
        <v>1060</v>
      </c>
      <c r="F141">
        <v>37</v>
      </c>
      <c r="G141">
        <v>4.4000000000000004</v>
      </c>
      <c r="H141">
        <f>ROUND(Calls[[#This Row],[Satisfactory Rating]],0)</f>
        <v>4</v>
      </c>
      <c r="I141" t="str" cm="1">
        <f t="array" ref="I141">_xlfn.IFS(Calls[[#This Row],[Duration (Min)]]&lt;=30,"Under 30 mins",Calls[[#This Row],[Duration (Min)]]&lt;=60,"Under 1h",Calls[[#This Row],[Duration (Min)]]&lt;=120,"Under 2",TRUE,"More than 2h")</f>
        <v>Under 2</v>
      </c>
      <c r="J141">
        <f>IF(MONTH(Calls[[#This Row],[Date of Call]])&lt;=3,YEAR(Calls[[#This Row],[Date of Call]]),YEAR(Calls[[#This Row],[Date of Call]])+1)</f>
        <v>2025</v>
      </c>
      <c r="K141" t="str">
        <f>TEXT(Calls[[#This Row],[Date of Call]],"dddd")</f>
        <v>Tuesday</v>
      </c>
      <c r="L141" t="str">
        <f>TEXT(Calls[[#This Row],[Date of Call]],"mmm")</f>
        <v>Jan</v>
      </c>
    </row>
    <row r="142" spans="1:12" x14ac:dyDescent="0.3">
      <c r="A142" t="s">
        <v>146</v>
      </c>
      <c r="B142" t="s">
        <v>1022</v>
      </c>
      <c r="C142">
        <v>91</v>
      </c>
      <c r="D142" t="s">
        <v>1032</v>
      </c>
      <c r="E142" t="s">
        <v>1061</v>
      </c>
      <c r="F142">
        <v>27</v>
      </c>
      <c r="G142">
        <v>2.2999999999999998</v>
      </c>
      <c r="H142">
        <f>ROUND(Calls[[#This Row],[Satisfactory Rating]],0)</f>
        <v>2</v>
      </c>
      <c r="I142" t="str" cm="1">
        <f t="array" ref="I142">_xlfn.IFS(Calls[[#This Row],[Duration (Min)]]&lt;=30,"Under 30 mins",Calls[[#This Row],[Duration (Min)]]&lt;=60,"Under 1h",Calls[[#This Row],[Duration (Min)]]&lt;=120,"Under 2",TRUE,"More than 2h")</f>
        <v>Under 2</v>
      </c>
      <c r="J142">
        <f>IF(MONTH(Calls[[#This Row],[Date of Call]])&lt;=3,YEAR(Calls[[#This Row],[Date of Call]]),YEAR(Calls[[#This Row],[Date of Call]])+1)</f>
        <v>2025</v>
      </c>
      <c r="K142" t="str">
        <f>TEXT(Calls[[#This Row],[Date of Call]],"dddd")</f>
        <v>Wednesday</v>
      </c>
      <c r="L142" t="str">
        <f>TEXT(Calls[[#This Row],[Date of Call]],"mmm")</f>
        <v>Jan</v>
      </c>
    </row>
    <row r="143" spans="1:12" x14ac:dyDescent="0.3">
      <c r="A143" t="s">
        <v>147</v>
      </c>
      <c r="B143" t="s">
        <v>1010</v>
      </c>
      <c r="C143">
        <v>14</v>
      </c>
      <c r="D143" t="s">
        <v>1031</v>
      </c>
      <c r="E143" t="s">
        <v>1061</v>
      </c>
      <c r="F143">
        <v>140</v>
      </c>
      <c r="G143">
        <v>4.5999999999999996</v>
      </c>
      <c r="H143">
        <f>ROUND(Calls[[#This Row],[Satisfactory Rating]],0)</f>
        <v>5</v>
      </c>
      <c r="I143" t="str" cm="1">
        <f t="array" ref="I143">_xlfn.IFS(Calls[[#This Row],[Duration (Min)]]&lt;=30,"Under 30 mins",Calls[[#This Row],[Duration (Min)]]&lt;=60,"Under 1h",Calls[[#This Row],[Duration (Min)]]&lt;=120,"Under 2",TRUE,"More than 2h")</f>
        <v>Under 30 mins</v>
      </c>
      <c r="J143">
        <f>IF(MONTH(Calls[[#This Row],[Date of Call]])&lt;=3,YEAR(Calls[[#This Row],[Date of Call]]),YEAR(Calls[[#This Row],[Date of Call]])+1)</f>
        <v>2025</v>
      </c>
      <c r="K143" t="str">
        <f>TEXT(Calls[[#This Row],[Date of Call]],"dddd")</f>
        <v>Wednesday</v>
      </c>
      <c r="L143" t="str">
        <f>TEXT(Calls[[#This Row],[Date of Call]],"mmm")</f>
        <v>Jan</v>
      </c>
    </row>
    <row r="144" spans="1:12" x14ac:dyDescent="0.3">
      <c r="A144" t="s">
        <v>148</v>
      </c>
      <c r="B144" t="s">
        <v>1022</v>
      </c>
      <c r="C144">
        <v>38</v>
      </c>
      <c r="D144" t="s">
        <v>1029</v>
      </c>
      <c r="E144" t="s">
        <v>1061</v>
      </c>
      <c r="F144">
        <v>125</v>
      </c>
      <c r="G144">
        <v>2.2000000000000002</v>
      </c>
      <c r="H144">
        <f>ROUND(Calls[[#This Row],[Satisfactory Rating]],0)</f>
        <v>2</v>
      </c>
      <c r="I144" t="str" cm="1">
        <f t="array" ref="I144">_xlfn.IFS(Calls[[#This Row],[Duration (Min)]]&lt;=30,"Under 30 mins",Calls[[#This Row],[Duration (Min)]]&lt;=60,"Under 1h",Calls[[#This Row],[Duration (Min)]]&lt;=120,"Under 2",TRUE,"More than 2h")</f>
        <v>Under 1h</v>
      </c>
      <c r="J144">
        <f>IF(MONTH(Calls[[#This Row],[Date of Call]])&lt;=3,YEAR(Calls[[#This Row],[Date of Call]]),YEAR(Calls[[#This Row],[Date of Call]])+1)</f>
        <v>2025</v>
      </c>
      <c r="K144" t="str">
        <f>TEXT(Calls[[#This Row],[Date of Call]],"dddd")</f>
        <v>Wednesday</v>
      </c>
      <c r="L144" t="str">
        <f>TEXT(Calls[[#This Row],[Date of Call]],"mmm")</f>
        <v>Jan</v>
      </c>
    </row>
    <row r="145" spans="1:12" x14ac:dyDescent="0.3">
      <c r="A145" t="s">
        <v>149</v>
      </c>
      <c r="B145" t="s">
        <v>1018</v>
      </c>
      <c r="C145">
        <v>81</v>
      </c>
      <c r="D145" t="s">
        <v>1030</v>
      </c>
      <c r="E145" t="s">
        <v>1061</v>
      </c>
      <c r="F145">
        <v>94</v>
      </c>
      <c r="G145">
        <v>1.7</v>
      </c>
      <c r="H145">
        <f>ROUND(Calls[[#This Row],[Satisfactory Rating]],0)</f>
        <v>2</v>
      </c>
      <c r="I145" t="str" cm="1">
        <f t="array" ref="I145">_xlfn.IFS(Calls[[#This Row],[Duration (Min)]]&lt;=30,"Under 30 mins",Calls[[#This Row],[Duration (Min)]]&lt;=60,"Under 1h",Calls[[#This Row],[Duration (Min)]]&lt;=120,"Under 2",TRUE,"More than 2h")</f>
        <v>Under 2</v>
      </c>
      <c r="J145">
        <f>IF(MONTH(Calls[[#This Row],[Date of Call]])&lt;=3,YEAR(Calls[[#This Row],[Date of Call]]),YEAR(Calls[[#This Row],[Date of Call]])+1)</f>
        <v>2025</v>
      </c>
      <c r="K145" t="str">
        <f>TEXT(Calls[[#This Row],[Date of Call]],"dddd")</f>
        <v>Wednesday</v>
      </c>
      <c r="L145" t="str">
        <f>TEXT(Calls[[#This Row],[Date of Call]],"mmm")</f>
        <v>Jan</v>
      </c>
    </row>
    <row r="146" spans="1:12" x14ac:dyDescent="0.3">
      <c r="A146" t="s">
        <v>150</v>
      </c>
      <c r="B146" t="s">
        <v>1006</v>
      </c>
      <c r="C146">
        <v>152</v>
      </c>
      <c r="D146" t="s">
        <v>1026</v>
      </c>
      <c r="E146" t="s">
        <v>1061</v>
      </c>
      <c r="F146">
        <v>128</v>
      </c>
      <c r="G146">
        <v>4.3</v>
      </c>
      <c r="H146">
        <f>ROUND(Calls[[#This Row],[Satisfactory Rating]],0)</f>
        <v>4</v>
      </c>
      <c r="I146" t="str" cm="1">
        <f t="array" ref="I146">_xlfn.IFS(Calls[[#This Row],[Duration (Min)]]&lt;=30,"Under 30 mins",Calls[[#This Row],[Duration (Min)]]&lt;=60,"Under 1h",Calls[[#This Row],[Duration (Min)]]&lt;=120,"Under 2",TRUE,"More than 2h")</f>
        <v>More than 2h</v>
      </c>
      <c r="J146">
        <f>IF(MONTH(Calls[[#This Row],[Date of Call]])&lt;=3,YEAR(Calls[[#This Row],[Date of Call]]),YEAR(Calls[[#This Row],[Date of Call]])+1)</f>
        <v>2025</v>
      </c>
      <c r="K146" t="str">
        <f>TEXT(Calls[[#This Row],[Date of Call]],"dddd")</f>
        <v>Wednesday</v>
      </c>
      <c r="L146" t="str">
        <f>TEXT(Calls[[#This Row],[Date of Call]],"mmm")</f>
        <v>Jan</v>
      </c>
    </row>
    <row r="147" spans="1:12" x14ac:dyDescent="0.3">
      <c r="A147" t="s">
        <v>151</v>
      </c>
      <c r="B147" t="s">
        <v>1011</v>
      </c>
      <c r="C147">
        <v>156</v>
      </c>
      <c r="D147" t="s">
        <v>1027</v>
      </c>
      <c r="E147" t="s">
        <v>1062</v>
      </c>
      <c r="F147">
        <v>20</v>
      </c>
      <c r="G147">
        <v>4.5999999999999996</v>
      </c>
      <c r="H147">
        <f>ROUND(Calls[[#This Row],[Satisfactory Rating]],0)</f>
        <v>5</v>
      </c>
      <c r="I147" t="str" cm="1">
        <f t="array" ref="I147">_xlfn.IFS(Calls[[#This Row],[Duration (Min)]]&lt;=30,"Under 30 mins",Calls[[#This Row],[Duration (Min)]]&lt;=60,"Under 1h",Calls[[#This Row],[Duration (Min)]]&lt;=120,"Under 2",TRUE,"More than 2h")</f>
        <v>More than 2h</v>
      </c>
      <c r="J147">
        <f>IF(MONTH(Calls[[#This Row],[Date of Call]])&lt;=3,YEAR(Calls[[#This Row],[Date of Call]]),YEAR(Calls[[#This Row],[Date of Call]])+1)</f>
        <v>2025</v>
      </c>
      <c r="K147" t="str">
        <f>TEXT(Calls[[#This Row],[Date of Call]],"dddd")</f>
        <v>Thursday</v>
      </c>
      <c r="L147" t="str">
        <f>TEXT(Calls[[#This Row],[Date of Call]],"mmm")</f>
        <v>Jan</v>
      </c>
    </row>
    <row r="148" spans="1:12" x14ac:dyDescent="0.3">
      <c r="A148" t="s">
        <v>152</v>
      </c>
      <c r="B148" t="s">
        <v>1019</v>
      </c>
      <c r="C148">
        <v>97</v>
      </c>
      <c r="D148" t="s">
        <v>1027</v>
      </c>
      <c r="E148" t="s">
        <v>1062</v>
      </c>
      <c r="F148">
        <v>130</v>
      </c>
      <c r="G148">
        <v>4.5</v>
      </c>
      <c r="H148">
        <f>ROUND(Calls[[#This Row],[Satisfactory Rating]],0)</f>
        <v>5</v>
      </c>
      <c r="I148" t="str" cm="1">
        <f t="array" ref="I148">_xlfn.IFS(Calls[[#This Row],[Duration (Min)]]&lt;=30,"Under 30 mins",Calls[[#This Row],[Duration (Min)]]&lt;=60,"Under 1h",Calls[[#This Row],[Duration (Min)]]&lt;=120,"Under 2",TRUE,"More than 2h")</f>
        <v>Under 2</v>
      </c>
      <c r="J148">
        <f>IF(MONTH(Calls[[#This Row],[Date of Call]])&lt;=3,YEAR(Calls[[#This Row],[Date of Call]]),YEAR(Calls[[#This Row],[Date of Call]])+1)</f>
        <v>2025</v>
      </c>
      <c r="K148" t="str">
        <f>TEXT(Calls[[#This Row],[Date of Call]],"dddd")</f>
        <v>Thursday</v>
      </c>
      <c r="L148" t="str">
        <f>TEXT(Calls[[#This Row],[Date of Call]],"mmm")</f>
        <v>Jan</v>
      </c>
    </row>
    <row r="149" spans="1:12" x14ac:dyDescent="0.3">
      <c r="A149" t="s">
        <v>153</v>
      </c>
      <c r="B149" t="s">
        <v>1016</v>
      </c>
      <c r="C149">
        <v>51</v>
      </c>
      <c r="D149" t="s">
        <v>1031</v>
      </c>
      <c r="E149" t="s">
        <v>1062</v>
      </c>
      <c r="F149">
        <v>90</v>
      </c>
      <c r="G149">
        <v>2.1</v>
      </c>
      <c r="H149">
        <f>ROUND(Calls[[#This Row],[Satisfactory Rating]],0)</f>
        <v>2</v>
      </c>
      <c r="I149" t="str" cm="1">
        <f t="array" ref="I149">_xlfn.IFS(Calls[[#This Row],[Duration (Min)]]&lt;=30,"Under 30 mins",Calls[[#This Row],[Duration (Min)]]&lt;=60,"Under 1h",Calls[[#This Row],[Duration (Min)]]&lt;=120,"Under 2",TRUE,"More than 2h")</f>
        <v>Under 1h</v>
      </c>
      <c r="J149">
        <f>IF(MONTH(Calls[[#This Row],[Date of Call]])&lt;=3,YEAR(Calls[[#This Row],[Date of Call]]),YEAR(Calls[[#This Row],[Date of Call]])+1)</f>
        <v>2025</v>
      </c>
      <c r="K149" t="str">
        <f>TEXT(Calls[[#This Row],[Date of Call]],"dddd")</f>
        <v>Thursday</v>
      </c>
      <c r="L149" t="str">
        <f>TEXT(Calls[[#This Row],[Date of Call]],"mmm")</f>
        <v>Jan</v>
      </c>
    </row>
    <row r="150" spans="1:12" x14ac:dyDescent="0.3">
      <c r="A150" t="s">
        <v>154</v>
      </c>
      <c r="B150" t="s">
        <v>1017</v>
      </c>
      <c r="C150">
        <v>77</v>
      </c>
      <c r="D150" t="s">
        <v>1031</v>
      </c>
      <c r="E150" t="s">
        <v>1062</v>
      </c>
      <c r="F150">
        <v>50</v>
      </c>
      <c r="G150">
        <v>4.2</v>
      </c>
      <c r="H150">
        <f>ROUND(Calls[[#This Row],[Satisfactory Rating]],0)</f>
        <v>4</v>
      </c>
      <c r="I150" t="str" cm="1">
        <f t="array" ref="I150">_xlfn.IFS(Calls[[#This Row],[Duration (Min)]]&lt;=30,"Under 30 mins",Calls[[#This Row],[Duration (Min)]]&lt;=60,"Under 1h",Calls[[#This Row],[Duration (Min)]]&lt;=120,"Under 2",TRUE,"More than 2h")</f>
        <v>Under 2</v>
      </c>
      <c r="J150">
        <f>IF(MONTH(Calls[[#This Row],[Date of Call]])&lt;=3,YEAR(Calls[[#This Row],[Date of Call]]),YEAR(Calls[[#This Row],[Date of Call]])+1)</f>
        <v>2025</v>
      </c>
      <c r="K150" t="str">
        <f>TEXT(Calls[[#This Row],[Date of Call]],"dddd")</f>
        <v>Thursday</v>
      </c>
      <c r="L150" t="str">
        <f>TEXT(Calls[[#This Row],[Date of Call]],"mmm")</f>
        <v>Jan</v>
      </c>
    </row>
    <row r="151" spans="1:12" x14ac:dyDescent="0.3">
      <c r="A151" t="s">
        <v>155</v>
      </c>
      <c r="B151" t="s">
        <v>1008</v>
      </c>
      <c r="C151">
        <v>76</v>
      </c>
      <c r="D151" t="s">
        <v>1031</v>
      </c>
      <c r="E151" t="s">
        <v>1062</v>
      </c>
      <c r="F151">
        <v>65</v>
      </c>
      <c r="G151">
        <v>3.6</v>
      </c>
      <c r="H151">
        <f>ROUND(Calls[[#This Row],[Satisfactory Rating]],0)</f>
        <v>4</v>
      </c>
      <c r="I151" t="str" cm="1">
        <f t="array" ref="I151">_xlfn.IFS(Calls[[#This Row],[Duration (Min)]]&lt;=30,"Under 30 mins",Calls[[#This Row],[Duration (Min)]]&lt;=60,"Under 1h",Calls[[#This Row],[Duration (Min)]]&lt;=120,"Under 2",TRUE,"More than 2h")</f>
        <v>Under 2</v>
      </c>
      <c r="J151">
        <f>IF(MONTH(Calls[[#This Row],[Date of Call]])&lt;=3,YEAR(Calls[[#This Row],[Date of Call]]),YEAR(Calls[[#This Row],[Date of Call]])+1)</f>
        <v>2025</v>
      </c>
      <c r="K151" t="str">
        <f>TEXT(Calls[[#This Row],[Date of Call]],"dddd")</f>
        <v>Thursday</v>
      </c>
      <c r="L151" t="str">
        <f>TEXT(Calls[[#This Row],[Date of Call]],"mmm")</f>
        <v>Jan</v>
      </c>
    </row>
    <row r="152" spans="1:12" x14ac:dyDescent="0.3">
      <c r="A152" t="s">
        <v>156</v>
      </c>
      <c r="B152" t="s">
        <v>1012</v>
      </c>
      <c r="C152">
        <v>153</v>
      </c>
      <c r="D152" t="s">
        <v>1028</v>
      </c>
      <c r="E152" t="s">
        <v>1063</v>
      </c>
      <c r="F152">
        <v>75</v>
      </c>
      <c r="G152">
        <v>4.5</v>
      </c>
      <c r="H152">
        <f>ROUND(Calls[[#This Row],[Satisfactory Rating]],0)</f>
        <v>5</v>
      </c>
      <c r="I152" t="str" cm="1">
        <f t="array" ref="I152">_xlfn.IFS(Calls[[#This Row],[Duration (Min)]]&lt;=30,"Under 30 mins",Calls[[#This Row],[Duration (Min)]]&lt;=60,"Under 1h",Calls[[#This Row],[Duration (Min)]]&lt;=120,"Under 2",TRUE,"More than 2h")</f>
        <v>More than 2h</v>
      </c>
      <c r="J152">
        <f>IF(MONTH(Calls[[#This Row],[Date of Call]])&lt;=3,YEAR(Calls[[#This Row],[Date of Call]]),YEAR(Calls[[#This Row],[Date of Call]])+1)</f>
        <v>2025</v>
      </c>
      <c r="K152" t="str">
        <f>TEXT(Calls[[#This Row],[Date of Call]],"dddd")</f>
        <v>Friday</v>
      </c>
      <c r="L152" t="str">
        <f>TEXT(Calls[[#This Row],[Date of Call]],"mmm")</f>
        <v>Jan</v>
      </c>
    </row>
    <row r="153" spans="1:12" x14ac:dyDescent="0.3">
      <c r="A153" t="s">
        <v>157</v>
      </c>
      <c r="B153" t="s">
        <v>1021</v>
      </c>
      <c r="C153">
        <v>158</v>
      </c>
      <c r="D153" t="s">
        <v>1031</v>
      </c>
      <c r="E153" t="s">
        <v>1063</v>
      </c>
      <c r="F153">
        <v>114</v>
      </c>
      <c r="G153">
        <v>1.1000000000000001</v>
      </c>
      <c r="H153">
        <f>ROUND(Calls[[#This Row],[Satisfactory Rating]],0)</f>
        <v>1</v>
      </c>
      <c r="I153" t="str" cm="1">
        <f t="array" ref="I153">_xlfn.IFS(Calls[[#This Row],[Duration (Min)]]&lt;=30,"Under 30 mins",Calls[[#This Row],[Duration (Min)]]&lt;=60,"Under 1h",Calls[[#This Row],[Duration (Min)]]&lt;=120,"Under 2",TRUE,"More than 2h")</f>
        <v>More than 2h</v>
      </c>
      <c r="J153">
        <f>IF(MONTH(Calls[[#This Row],[Date of Call]])&lt;=3,YEAR(Calls[[#This Row],[Date of Call]]),YEAR(Calls[[#This Row],[Date of Call]])+1)</f>
        <v>2025</v>
      </c>
      <c r="K153" t="str">
        <f>TEXT(Calls[[#This Row],[Date of Call]],"dddd")</f>
        <v>Friday</v>
      </c>
      <c r="L153" t="str">
        <f>TEXT(Calls[[#This Row],[Date of Call]],"mmm")</f>
        <v>Jan</v>
      </c>
    </row>
    <row r="154" spans="1:12" x14ac:dyDescent="0.3">
      <c r="A154" t="s">
        <v>158</v>
      </c>
      <c r="B154" t="s">
        <v>1019</v>
      </c>
      <c r="C154">
        <v>53</v>
      </c>
      <c r="D154" t="s">
        <v>1027</v>
      </c>
      <c r="E154" t="s">
        <v>1063</v>
      </c>
      <c r="F154">
        <v>87</v>
      </c>
      <c r="G154">
        <v>2.5</v>
      </c>
      <c r="H154">
        <f>ROUND(Calls[[#This Row],[Satisfactory Rating]],0)</f>
        <v>3</v>
      </c>
      <c r="I154" t="str" cm="1">
        <f t="array" ref="I154">_xlfn.IFS(Calls[[#This Row],[Duration (Min)]]&lt;=30,"Under 30 mins",Calls[[#This Row],[Duration (Min)]]&lt;=60,"Under 1h",Calls[[#This Row],[Duration (Min)]]&lt;=120,"Under 2",TRUE,"More than 2h")</f>
        <v>Under 1h</v>
      </c>
      <c r="J154">
        <f>IF(MONTH(Calls[[#This Row],[Date of Call]])&lt;=3,YEAR(Calls[[#This Row],[Date of Call]]),YEAR(Calls[[#This Row],[Date of Call]])+1)</f>
        <v>2025</v>
      </c>
      <c r="K154" t="str">
        <f>TEXT(Calls[[#This Row],[Date of Call]],"dddd")</f>
        <v>Friday</v>
      </c>
      <c r="L154" t="str">
        <f>TEXT(Calls[[#This Row],[Date of Call]],"mmm")</f>
        <v>Jan</v>
      </c>
    </row>
    <row r="155" spans="1:12" x14ac:dyDescent="0.3">
      <c r="A155" t="s">
        <v>159</v>
      </c>
      <c r="B155" t="s">
        <v>1015</v>
      </c>
      <c r="C155">
        <v>102</v>
      </c>
      <c r="D155" t="s">
        <v>1026</v>
      </c>
      <c r="E155" t="s">
        <v>1063</v>
      </c>
      <c r="F155">
        <v>109</v>
      </c>
      <c r="G155">
        <v>1.9</v>
      </c>
      <c r="H155">
        <f>ROUND(Calls[[#This Row],[Satisfactory Rating]],0)</f>
        <v>2</v>
      </c>
      <c r="I155" t="str" cm="1">
        <f t="array" ref="I155">_xlfn.IFS(Calls[[#This Row],[Duration (Min)]]&lt;=30,"Under 30 mins",Calls[[#This Row],[Duration (Min)]]&lt;=60,"Under 1h",Calls[[#This Row],[Duration (Min)]]&lt;=120,"Under 2",TRUE,"More than 2h")</f>
        <v>Under 2</v>
      </c>
      <c r="J155">
        <f>IF(MONTH(Calls[[#This Row],[Date of Call]])&lt;=3,YEAR(Calls[[#This Row],[Date of Call]]),YEAR(Calls[[#This Row],[Date of Call]])+1)</f>
        <v>2025</v>
      </c>
      <c r="K155" t="str">
        <f>TEXT(Calls[[#This Row],[Date of Call]],"dddd")</f>
        <v>Friday</v>
      </c>
      <c r="L155" t="str">
        <f>TEXT(Calls[[#This Row],[Date of Call]],"mmm")</f>
        <v>Jan</v>
      </c>
    </row>
    <row r="156" spans="1:12" x14ac:dyDescent="0.3">
      <c r="A156" t="s">
        <v>160</v>
      </c>
      <c r="B156" t="s">
        <v>1018</v>
      </c>
      <c r="C156">
        <v>103</v>
      </c>
      <c r="D156" t="s">
        <v>1028</v>
      </c>
      <c r="E156" t="s">
        <v>1063</v>
      </c>
      <c r="F156">
        <v>55</v>
      </c>
      <c r="G156">
        <v>1.6</v>
      </c>
      <c r="H156">
        <f>ROUND(Calls[[#This Row],[Satisfactory Rating]],0)</f>
        <v>2</v>
      </c>
      <c r="I156" t="str" cm="1">
        <f t="array" ref="I156">_xlfn.IFS(Calls[[#This Row],[Duration (Min)]]&lt;=30,"Under 30 mins",Calls[[#This Row],[Duration (Min)]]&lt;=60,"Under 1h",Calls[[#This Row],[Duration (Min)]]&lt;=120,"Under 2",TRUE,"More than 2h")</f>
        <v>Under 2</v>
      </c>
      <c r="J156">
        <f>IF(MONTH(Calls[[#This Row],[Date of Call]])&lt;=3,YEAR(Calls[[#This Row],[Date of Call]]),YEAR(Calls[[#This Row],[Date of Call]])+1)</f>
        <v>2025</v>
      </c>
      <c r="K156" t="str">
        <f>TEXT(Calls[[#This Row],[Date of Call]],"dddd")</f>
        <v>Friday</v>
      </c>
      <c r="L156" t="str">
        <f>TEXT(Calls[[#This Row],[Date of Call]],"mmm")</f>
        <v>Jan</v>
      </c>
    </row>
    <row r="157" spans="1:12" x14ac:dyDescent="0.3">
      <c r="A157" t="s">
        <v>161</v>
      </c>
      <c r="B157" t="s">
        <v>1019</v>
      </c>
      <c r="C157">
        <v>87</v>
      </c>
      <c r="D157" t="s">
        <v>1028</v>
      </c>
      <c r="E157" t="s">
        <v>1064</v>
      </c>
      <c r="F157">
        <v>49</v>
      </c>
      <c r="G157">
        <v>2.7</v>
      </c>
      <c r="H157">
        <f>ROUND(Calls[[#This Row],[Satisfactory Rating]],0)</f>
        <v>3</v>
      </c>
      <c r="I157" t="str" cm="1">
        <f t="array" ref="I157">_xlfn.IFS(Calls[[#This Row],[Duration (Min)]]&lt;=30,"Under 30 mins",Calls[[#This Row],[Duration (Min)]]&lt;=60,"Under 1h",Calls[[#This Row],[Duration (Min)]]&lt;=120,"Under 2",TRUE,"More than 2h")</f>
        <v>Under 2</v>
      </c>
      <c r="J157">
        <f>IF(MONTH(Calls[[#This Row],[Date of Call]])&lt;=3,YEAR(Calls[[#This Row],[Date of Call]]),YEAR(Calls[[#This Row],[Date of Call]])+1)</f>
        <v>2025</v>
      </c>
      <c r="K157" t="str">
        <f>TEXT(Calls[[#This Row],[Date of Call]],"dddd")</f>
        <v>Saturday</v>
      </c>
      <c r="L157" t="str">
        <f>TEXT(Calls[[#This Row],[Date of Call]],"mmm")</f>
        <v>Feb</v>
      </c>
    </row>
    <row r="158" spans="1:12" x14ac:dyDescent="0.3">
      <c r="A158" t="s">
        <v>162</v>
      </c>
      <c r="B158" t="s">
        <v>1008</v>
      </c>
      <c r="C158">
        <v>79</v>
      </c>
      <c r="D158" t="s">
        <v>1029</v>
      </c>
      <c r="E158" t="s">
        <v>1064</v>
      </c>
      <c r="F158">
        <v>110</v>
      </c>
      <c r="G158">
        <v>1.8</v>
      </c>
      <c r="H158">
        <f>ROUND(Calls[[#This Row],[Satisfactory Rating]],0)</f>
        <v>2</v>
      </c>
      <c r="I158" t="str" cm="1">
        <f t="array" ref="I158">_xlfn.IFS(Calls[[#This Row],[Duration (Min)]]&lt;=30,"Under 30 mins",Calls[[#This Row],[Duration (Min)]]&lt;=60,"Under 1h",Calls[[#This Row],[Duration (Min)]]&lt;=120,"Under 2",TRUE,"More than 2h")</f>
        <v>Under 2</v>
      </c>
      <c r="J158">
        <f>IF(MONTH(Calls[[#This Row],[Date of Call]])&lt;=3,YEAR(Calls[[#This Row],[Date of Call]]),YEAR(Calls[[#This Row],[Date of Call]])+1)</f>
        <v>2025</v>
      </c>
      <c r="K158" t="str">
        <f>TEXT(Calls[[#This Row],[Date of Call]],"dddd")</f>
        <v>Saturday</v>
      </c>
      <c r="L158" t="str">
        <f>TEXT(Calls[[#This Row],[Date of Call]],"mmm")</f>
        <v>Feb</v>
      </c>
    </row>
    <row r="159" spans="1:12" x14ac:dyDescent="0.3">
      <c r="A159" t="s">
        <v>163</v>
      </c>
      <c r="B159" t="s">
        <v>1015</v>
      </c>
      <c r="C159">
        <v>145</v>
      </c>
      <c r="D159" t="s">
        <v>1030</v>
      </c>
      <c r="E159" t="s">
        <v>1064</v>
      </c>
      <c r="F159">
        <v>19</v>
      </c>
      <c r="G159">
        <v>1.6</v>
      </c>
      <c r="H159">
        <f>ROUND(Calls[[#This Row],[Satisfactory Rating]],0)</f>
        <v>2</v>
      </c>
      <c r="I159" t="str" cm="1">
        <f t="array" ref="I159">_xlfn.IFS(Calls[[#This Row],[Duration (Min)]]&lt;=30,"Under 30 mins",Calls[[#This Row],[Duration (Min)]]&lt;=60,"Under 1h",Calls[[#This Row],[Duration (Min)]]&lt;=120,"Under 2",TRUE,"More than 2h")</f>
        <v>More than 2h</v>
      </c>
      <c r="J159">
        <f>IF(MONTH(Calls[[#This Row],[Date of Call]])&lt;=3,YEAR(Calls[[#This Row],[Date of Call]]),YEAR(Calls[[#This Row],[Date of Call]])+1)</f>
        <v>2025</v>
      </c>
      <c r="K159" t="str">
        <f>TEXT(Calls[[#This Row],[Date of Call]],"dddd")</f>
        <v>Saturday</v>
      </c>
      <c r="L159" t="str">
        <f>TEXT(Calls[[#This Row],[Date of Call]],"mmm")</f>
        <v>Feb</v>
      </c>
    </row>
    <row r="160" spans="1:12" x14ac:dyDescent="0.3">
      <c r="A160" t="s">
        <v>164</v>
      </c>
      <c r="B160" t="s">
        <v>1025</v>
      </c>
      <c r="C160">
        <v>102</v>
      </c>
      <c r="D160" t="s">
        <v>1026</v>
      </c>
      <c r="E160" t="s">
        <v>1064</v>
      </c>
      <c r="F160">
        <v>64</v>
      </c>
      <c r="G160">
        <v>3.9</v>
      </c>
      <c r="H160">
        <f>ROUND(Calls[[#This Row],[Satisfactory Rating]],0)</f>
        <v>4</v>
      </c>
      <c r="I160" t="str" cm="1">
        <f t="array" ref="I160">_xlfn.IFS(Calls[[#This Row],[Duration (Min)]]&lt;=30,"Under 30 mins",Calls[[#This Row],[Duration (Min)]]&lt;=60,"Under 1h",Calls[[#This Row],[Duration (Min)]]&lt;=120,"Under 2",TRUE,"More than 2h")</f>
        <v>Under 2</v>
      </c>
      <c r="J160">
        <f>IF(MONTH(Calls[[#This Row],[Date of Call]])&lt;=3,YEAR(Calls[[#This Row],[Date of Call]]),YEAR(Calls[[#This Row],[Date of Call]])+1)</f>
        <v>2025</v>
      </c>
      <c r="K160" t="str">
        <f>TEXT(Calls[[#This Row],[Date of Call]],"dddd")</f>
        <v>Saturday</v>
      </c>
      <c r="L160" t="str">
        <f>TEXT(Calls[[#This Row],[Date of Call]],"mmm")</f>
        <v>Feb</v>
      </c>
    </row>
    <row r="161" spans="1:12" x14ac:dyDescent="0.3">
      <c r="A161" t="s">
        <v>165</v>
      </c>
      <c r="B161" t="s">
        <v>1007</v>
      </c>
      <c r="C161">
        <v>128</v>
      </c>
      <c r="D161" t="s">
        <v>1029</v>
      </c>
      <c r="E161" t="s">
        <v>1064</v>
      </c>
      <c r="F161">
        <v>103</v>
      </c>
      <c r="G161">
        <v>3.3</v>
      </c>
      <c r="H161">
        <f>ROUND(Calls[[#This Row],[Satisfactory Rating]],0)</f>
        <v>3</v>
      </c>
      <c r="I161" t="str" cm="1">
        <f t="array" ref="I161">_xlfn.IFS(Calls[[#This Row],[Duration (Min)]]&lt;=30,"Under 30 mins",Calls[[#This Row],[Duration (Min)]]&lt;=60,"Under 1h",Calls[[#This Row],[Duration (Min)]]&lt;=120,"Under 2",TRUE,"More than 2h")</f>
        <v>More than 2h</v>
      </c>
      <c r="J161">
        <f>IF(MONTH(Calls[[#This Row],[Date of Call]])&lt;=3,YEAR(Calls[[#This Row],[Date of Call]]),YEAR(Calls[[#This Row],[Date of Call]])+1)</f>
        <v>2025</v>
      </c>
      <c r="K161" t="str">
        <f>TEXT(Calls[[#This Row],[Date of Call]],"dddd")</f>
        <v>Saturday</v>
      </c>
      <c r="L161" t="str">
        <f>TEXT(Calls[[#This Row],[Date of Call]],"mmm")</f>
        <v>Feb</v>
      </c>
    </row>
    <row r="162" spans="1:12" x14ac:dyDescent="0.3">
      <c r="A162" t="s">
        <v>166</v>
      </c>
      <c r="B162" t="s">
        <v>1007</v>
      </c>
      <c r="C162">
        <v>156</v>
      </c>
      <c r="D162" t="s">
        <v>1027</v>
      </c>
      <c r="E162" t="s">
        <v>1065</v>
      </c>
      <c r="F162">
        <v>25</v>
      </c>
      <c r="G162">
        <v>3.2</v>
      </c>
      <c r="H162">
        <f>ROUND(Calls[[#This Row],[Satisfactory Rating]],0)</f>
        <v>3</v>
      </c>
      <c r="I162" t="str" cm="1">
        <f t="array" ref="I162">_xlfn.IFS(Calls[[#This Row],[Duration (Min)]]&lt;=30,"Under 30 mins",Calls[[#This Row],[Duration (Min)]]&lt;=60,"Under 1h",Calls[[#This Row],[Duration (Min)]]&lt;=120,"Under 2",TRUE,"More than 2h")</f>
        <v>More than 2h</v>
      </c>
      <c r="J162">
        <f>IF(MONTH(Calls[[#This Row],[Date of Call]])&lt;=3,YEAR(Calls[[#This Row],[Date of Call]]),YEAR(Calls[[#This Row],[Date of Call]])+1)</f>
        <v>2025</v>
      </c>
      <c r="K162" t="str">
        <f>TEXT(Calls[[#This Row],[Date of Call]],"dddd")</f>
        <v>Sunday</v>
      </c>
      <c r="L162" t="str">
        <f>TEXT(Calls[[#This Row],[Date of Call]],"mmm")</f>
        <v>Feb</v>
      </c>
    </row>
    <row r="163" spans="1:12" x14ac:dyDescent="0.3">
      <c r="A163" t="s">
        <v>167</v>
      </c>
      <c r="B163" t="s">
        <v>1024</v>
      </c>
      <c r="C163">
        <v>128</v>
      </c>
      <c r="D163" t="s">
        <v>1027</v>
      </c>
      <c r="E163" t="s">
        <v>1065</v>
      </c>
      <c r="F163">
        <v>135</v>
      </c>
      <c r="G163">
        <v>3.9</v>
      </c>
      <c r="H163">
        <f>ROUND(Calls[[#This Row],[Satisfactory Rating]],0)</f>
        <v>4</v>
      </c>
      <c r="I163" t="str" cm="1">
        <f t="array" ref="I163">_xlfn.IFS(Calls[[#This Row],[Duration (Min)]]&lt;=30,"Under 30 mins",Calls[[#This Row],[Duration (Min)]]&lt;=60,"Under 1h",Calls[[#This Row],[Duration (Min)]]&lt;=120,"Under 2",TRUE,"More than 2h")</f>
        <v>More than 2h</v>
      </c>
      <c r="J163">
        <f>IF(MONTH(Calls[[#This Row],[Date of Call]])&lt;=3,YEAR(Calls[[#This Row],[Date of Call]]),YEAR(Calls[[#This Row],[Date of Call]])+1)</f>
        <v>2025</v>
      </c>
      <c r="K163" t="str">
        <f>TEXT(Calls[[#This Row],[Date of Call]],"dddd")</f>
        <v>Sunday</v>
      </c>
      <c r="L163" t="str">
        <f>TEXT(Calls[[#This Row],[Date of Call]],"mmm")</f>
        <v>Feb</v>
      </c>
    </row>
    <row r="164" spans="1:12" x14ac:dyDescent="0.3">
      <c r="A164" t="s">
        <v>168</v>
      </c>
      <c r="B164" t="s">
        <v>1009</v>
      </c>
      <c r="C164">
        <v>132</v>
      </c>
      <c r="D164" t="s">
        <v>1030</v>
      </c>
      <c r="E164" t="s">
        <v>1065</v>
      </c>
      <c r="F164">
        <v>83</v>
      </c>
      <c r="G164">
        <v>4.3</v>
      </c>
      <c r="H164">
        <f>ROUND(Calls[[#This Row],[Satisfactory Rating]],0)</f>
        <v>4</v>
      </c>
      <c r="I164" t="str" cm="1">
        <f t="array" ref="I164">_xlfn.IFS(Calls[[#This Row],[Duration (Min)]]&lt;=30,"Under 30 mins",Calls[[#This Row],[Duration (Min)]]&lt;=60,"Under 1h",Calls[[#This Row],[Duration (Min)]]&lt;=120,"Under 2",TRUE,"More than 2h")</f>
        <v>More than 2h</v>
      </c>
      <c r="J164">
        <f>IF(MONTH(Calls[[#This Row],[Date of Call]])&lt;=3,YEAR(Calls[[#This Row],[Date of Call]]),YEAR(Calls[[#This Row],[Date of Call]])+1)</f>
        <v>2025</v>
      </c>
      <c r="K164" t="str">
        <f>TEXT(Calls[[#This Row],[Date of Call]],"dddd")</f>
        <v>Sunday</v>
      </c>
      <c r="L164" t="str">
        <f>TEXT(Calls[[#This Row],[Date of Call]],"mmm")</f>
        <v>Feb</v>
      </c>
    </row>
    <row r="165" spans="1:12" x14ac:dyDescent="0.3">
      <c r="A165" t="s">
        <v>169</v>
      </c>
      <c r="B165" t="s">
        <v>1020</v>
      </c>
      <c r="C165">
        <v>66</v>
      </c>
      <c r="D165" t="s">
        <v>1028</v>
      </c>
      <c r="E165" t="s">
        <v>1065</v>
      </c>
      <c r="F165">
        <v>92</v>
      </c>
      <c r="G165">
        <v>2.2999999999999998</v>
      </c>
      <c r="H165">
        <f>ROUND(Calls[[#This Row],[Satisfactory Rating]],0)</f>
        <v>2</v>
      </c>
      <c r="I165" t="str" cm="1">
        <f t="array" ref="I165">_xlfn.IFS(Calls[[#This Row],[Duration (Min)]]&lt;=30,"Under 30 mins",Calls[[#This Row],[Duration (Min)]]&lt;=60,"Under 1h",Calls[[#This Row],[Duration (Min)]]&lt;=120,"Under 2",TRUE,"More than 2h")</f>
        <v>Under 2</v>
      </c>
      <c r="J165">
        <f>IF(MONTH(Calls[[#This Row],[Date of Call]])&lt;=3,YEAR(Calls[[#This Row],[Date of Call]]),YEAR(Calls[[#This Row],[Date of Call]])+1)</f>
        <v>2025</v>
      </c>
      <c r="K165" t="str">
        <f>TEXT(Calls[[#This Row],[Date of Call]],"dddd")</f>
        <v>Sunday</v>
      </c>
      <c r="L165" t="str">
        <f>TEXT(Calls[[#This Row],[Date of Call]],"mmm")</f>
        <v>Feb</v>
      </c>
    </row>
    <row r="166" spans="1:12" x14ac:dyDescent="0.3">
      <c r="A166" t="s">
        <v>170</v>
      </c>
      <c r="B166" t="s">
        <v>1017</v>
      </c>
      <c r="C166">
        <v>108</v>
      </c>
      <c r="D166" t="s">
        <v>1030</v>
      </c>
      <c r="E166" t="s">
        <v>1065</v>
      </c>
      <c r="F166">
        <v>98</v>
      </c>
      <c r="G166">
        <v>2</v>
      </c>
      <c r="H166">
        <f>ROUND(Calls[[#This Row],[Satisfactory Rating]],0)</f>
        <v>2</v>
      </c>
      <c r="I166" t="str" cm="1">
        <f t="array" ref="I166">_xlfn.IFS(Calls[[#This Row],[Duration (Min)]]&lt;=30,"Under 30 mins",Calls[[#This Row],[Duration (Min)]]&lt;=60,"Under 1h",Calls[[#This Row],[Duration (Min)]]&lt;=120,"Under 2",TRUE,"More than 2h")</f>
        <v>Under 2</v>
      </c>
      <c r="J166">
        <f>IF(MONTH(Calls[[#This Row],[Date of Call]])&lt;=3,YEAR(Calls[[#This Row],[Date of Call]]),YEAR(Calls[[#This Row],[Date of Call]])+1)</f>
        <v>2025</v>
      </c>
      <c r="K166" t="str">
        <f>TEXT(Calls[[#This Row],[Date of Call]],"dddd")</f>
        <v>Sunday</v>
      </c>
      <c r="L166" t="str">
        <f>TEXT(Calls[[#This Row],[Date of Call]],"mmm")</f>
        <v>Feb</v>
      </c>
    </row>
    <row r="167" spans="1:12" x14ac:dyDescent="0.3">
      <c r="A167" t="s">
        <v>171</v>
      </c>
      <c r="B167" t="s">
        <v>1017</v>
      </c>
      <c r="C167">
        <v>78</v>
      </c>
      <c r="D167" t="s">
        <v>1031</v>
      </c>
      <c r="E167" t="s">
        <v>1066</v>
      </c>
      <c r="F167">
        <v>101</v>
      </c>
      <c r="G167">
        <v>4.2</v>
      </c>
      <c r="H167">
        <f>ROUND(Calls[[#This Row],[Satisfactory Rating]],0)</f>
        <v>4</v>
      </c>
      <c r="I167" t="str" cm="1">
        <f t="array" ref="I167">_xlfn.IFS(Calls[[#This Row],[Duration (Min)]]&lt;=30,"Under 30 mins",Calls[[#This Row],[Duration (Min)]]&lt;=60,"Under 1h",Calls[[#This Row],[Duration (Min)]]&lt;=120,"Under 2",TRUE,"More than 2h")</f>
        <v>Under 2</v>
      </c>
      <c r="J167">
        <f>IF(MONTH(Calls[[#This Row],[Date of Call]])&lt;=3,YEAR(Calls[[#This Row],[Date of Call]]),YEAR(Calls[[#This Row],[Date of Call]])+1)</f>
        <v>2025</v>
      </c>
      <c r="K167" t="str">
        <f>TEXT(Calls[[#This Row],[Date of Call]],"dddd")</f>
        <v>Monday</v>
      </c>
      <c r="L167" t="str">
        <f>TEXT(Calls[[#This Row],[Date of Call]],"mmm")</f>
        <v>Feb</v>
      </c>
    </row>
    <row r="168" spans="1:12" x14ac:dyDescent="0.3">
      <c r="A168" t="s">
        <v>172</v>
      </c>
      <c r="B168" t="s">
        <v>1019</v>
      </c>
      <c r="C168">
        <v>36</v>
      </c>
      <c r="D168" t="s">
        <v>1029</v>
      </c>
      <c r="E168" t="s">
        <v>1066</v>
      </c>
      <c r="F168">
        <v>63</v>
      </c>
      <c r="G168">
        <v>3.7</v>
      </c>
      <c r="H168">
        <f>ROUND(Calls[[#This Row],[Satisfactory Rating]],0)</f>
        <v>4</v>
      </c>
      <c r="I168" t="str" cm="1">
        <f t="array" ref="I168">_xlfn.IFS(Calls[[#This Row],[Duration (Min)]]&lt;=30,"Under 30 mins",Calls[[#This Row],[Duration (Min)]]&lt;=60,"Under 1h",Calls[[#This Row],[Duration (Min)]]&lt;=120,"Under 2",TRUE,"More than 2h")</f>
        <v>Under 1h</v>
      </c>
      <c r="J168">
        <f>IF(MONTH(Calls[[#This Row],[Date of Call]])&lt;=3,YEAR(Calls[[#This Row],[Date of Call]]),YEAR(Calls[[#This Row],[Date of Call]])+1)</f>
        <v>2025</v>
      </c>
      <c r="K168" t="str">
        <f>TEXT(Calls[[#This Row],[Date of Call]],"dddd")</f>
        <v>Monday</v>
      </c>
      <c r="L168" t="str">
        <f>TEXT(Calls[[#This Row],[Date of Call]],"mmm")</f>
        <v>Feb</v>
      </c>
    </row>
    <row r="169" spans="1:12" x14ac:dyDescent="0.3">
      <c r="A169" t="s">
        <v>173</v>
      </c>
      <c r="B169" t="s">
        <v>1011</v>
      </c>
      <c r="C169">
        <v>158</v>
      </c>
      <c r="D169" t="s">
        <v>1027</v>
      </c>
      <c r="E169" t="s">
        <v>1066</v>
      </c>
      <c r="F169">
        <v>74</v>
      </c>
      <c r="G169">
        <v>2.1</v>
      </c>
      <c r="H169">
        <f>ROUND(Calls[[#This Row],[Satisfactory Rating]],0)</f>
        <v>2</v>
      </c>
      <c r="I169" t="str" cm="1">
        <f t="array" ref="I169">_xlfn.IFS(Calls[[#This Row],[Duration (Min)]]&lt;=30,"Under 30 mins",Calls[[#This Row],[Duration (Min)]]&lt;=60,"Under 1h",Calls[[#This Row],[Duration (Min)]]&lt;=120,"Under 2",TRUE,"More than 2h")</f>
        <v>More than 2h</v>
      </c>
      <c r="J169">
        <f>IF(MONTH(Calls[[#This Row],[Date of Call]])&lt;=3,YEAR(Calls[[#This Row],[Date of Call]]),YEAR(Calls[[#This Row],[Date of Call]])+1)</f>
        <v>2025</v>
      </c>
      <c r="K169" t="str">
        <f>TEXT(Calls[[#This Row],[Date of Call]],"dddd")</f>
        <v>Monday</v>
      </c>
      <c r="L169" t="str">
        <f>TEXT(Calls[[#This Row],[Date of Call]],"mmm")</f>
        <v>Feb</v>
      </c>
    </row>
    <row r="170" spans="1:12" x14ac:dyDescent="0.3">
      <c r="A170" t="s">
        <v>174</v>
      </c>
      <c r="B170" t="s">
        <v>1016</v>
      </c>
      <c r="C170">
        <v>125</v>
      </c>
      <c r="D170" t="s">
        <v>1029</v>
      </c>
      <c r="E170" t="s">
        <v>1066</v>
      </c>
      <c r="F170">
        <v>133</v>
      </c>
      <c r="G170">
        <v>4.2</v>
      </c>
      <c r="H170">
        <f>ROUND(Calls[[#This Row],[Satisfactory Rating]],0)</f>
        <v>4</v>
      </c>
      <c r="I170" t="str" cm="1">
        <f t="array" ref="I170">_xlfn.IFS(Calls[[#This Row],[Duration (Min)]]&lt;=30,"Under 30 mins",Calls[[#This Row],[Duration (Min)]]&lt;=60,"Under 1h",Calls[[#This Row],[Duration (Min)]]&lt;=120,"Under 2",TRUE,"More than 2h")</f>
        <v>More than 2h</v>
      </c>
      <c r="J170">
        <f>IF(MONTH(Calls[[#This Row],[Date of Call]])&lt;=3,YEAR(Calls[[#This Row],[Date of Call]]),YEAR(Calls[[#This Row],[Date of Call]])+1)</f>
        <v>2025</v>
      </c>
      <c r="K170" t="str">
        <f>TEXT(Calls[[#This Row],[Date of Call]],"dddd")</f>
        <v>Monday</v>
      </c>
      <c r="L170" t="str">
        <f>TEXT(Calls[[#This Row],[Date of Call]],"mmm")</f>
        <v>Feb</v>
      </c>
    </row>
    <row r="171" spans="1:12" x14ac:dyDescent="0.3">
      <c r="A171" t="s">
        <v>175</v>
      </c>
      <c r="B171" t="s">
        <v>1006</v>
      </c>
      <c r="C171">
        <v>82</v>
      </c>
      <c r="D171" t="s">
        <v>1031</v>
      </c>
      <c r="E171" t="s">
        <v>1066</v>
      </c>
      <c r="F171">
        <v>125</v>
      </c>
      <c r="G171">
        <v>1.9</v>
      </c>
      <c r="H171">
        <f>ROUND(Calls[[#This Row],[Satisfactory Rating]],0)</f>
        <v>2</v>
      </c>
      <c r="I171" t="str" cm="1">
        <f t="array" ref="I171">_xlfn.IFS(Calls[[#This Row],[Duration (Min)]]&lt;=30,"Under 30 mins",Calls[[#This Row],[Duration (Min)]]&lt;=60,"Under 1h",Calls[[#This Row],[Duration (Min)]]&lt;=120,"Under 2",TRUE,"More than 2h")</f>
        <v>Under 2</v>
      </c>
      <c r="J171">
        <f>IF(MONTH(Calls[[#This Row],[Date of Call]])&lt;=3,YEAR(Calls[[#This Row],[Date of Call]]),YEAR(Calls[[#This Row],[Date of Call]])+1)</f>
        <v>2025</v>
      </c>
      <c r="K171" t="str">
        <f>TEXT(Calls[[#This Row],[Date of Call]],"dddd")</f>
        <v>Monday</v>
      </c>
      <c r="L171" t="str">
        <f>TEXT(Calls[[#This Row],[Date of Call]],"mmm")</f>
        <v>Feb</v>
      </c>
    </row>
    <row r="172" spans="1:12" x14ac:dyDescent="0.3">
      <c r="A172" t="s">
        <v>176</v>
      </c>
      <c r="B172" t="s">
        <v>1016</v>
      </c>
      <c r="C172">
        <v>106</v>
      </c>
      <c r="D172" t="s">
        <v>1026</v>
      </c>
      <c r="E172" t="s">
        <v>1067</v>
      </c>
      <c r="F172">
        <v>95</v>
      </c>
      <c r="G172">
        <v>4.7</v>
      </c>
      <c r="H172">
        <f>ROUND(Calls[[#This Row],[Satisfactory Rating]],0)</f>
        <v>5</v>
      </c>
      <c r="I172" t="str" cm="1">
        <f t="array" ref="I172">_xlfn.IFS(Calls[[#This Row],[Duration (Min)]]&lt;=30,"Under 30 mins",Calls[[#This Row],[Duration (Min)]]&lt;=60,"Under 1h",Calls[[#This Row],[Duration (Min)]]&lt;=120,"Under 2",TRUE,"More than 2h")</f>
        <v>Under 2</v>
      </c>
      <c r="J172">
        <f>IF(MONTH(Calls[[#This Row],[Date of Call]])&lt;=3,YEAR(Calls[[#This Row],[Date of Call]]),YEAR(Calls[[#This Row],[Date of Call]])+1)</f>
        <v>2025</v>
      </c>
      <c r="K172" t="str">
        <f>TEXT(Calls[[#This Row],[Date of Call]],"dddd")</f>
        <v>Tuesday</v>
      </c>
      <c r="L172" t="str">
        <f>TEXT(Calls[[#This Row],[Date of Call]],"mmm")</f>
        <v>Feb</v>
      </c>
    </row>
    <row r="173" spans="1:12" x14ac:dyDescent="0.3">
      <c r="A173" t="s">
        <v>177</v>
      </c>
      <c r="B173" t="s">
        <v>1020</v>
      </c>
      <c r="C173">
        <v>16</v>
      </c>
      <c r="D173" t="s">
        <v>1026</v>
      </c>
      <c r="E173" t="s">
        <v>1067</v>
      </c>
      <c r="F173">
        <v>81</v>
      </c>
      <c r="G173">
        <v>1.6</v>
      </c>
      <c r="H173">
        <f>ROUND(Calls[[#This Row],[Satisfactory Rating]],0)</f>
        <v>2</v>
      </c>
      <c r="I173" t="str" cm="1">
        <f t="array" ref="I173">_xlfn.IFS(Calls[[#This Row],[Duration (Min)]]&lt;=30,"Under 30 mins",Calls[[#This Row],[Duration (Min)]]&lt;=60,"Under 1h",Calls[[#This Row],[Duration (Min)]]&lt;=120,"Under 2",TRUE,"More than 2h")</f>
        <v>Under 30 mins</v>
      </c>
      <c r="J173">
        <f>IF(MONTH(Calls[[#This Row],[Date of Call]])&lt;=3,YEAR(Calls[[#This Row],[Date of Call]]),YEAR(Calls[[#This Row],[Date of Call]])+1)</f>
        <v>2025</v>
      </c>
      <c r="K173" t="str">
        <f>TEXT(Calls[[#This Row],[Date of Call]],"dddd")</f>
        <v>Tuesday</v>
      </c>
      <c r="L173" t="str">
        <f>TEXT(Calls[[#This Row],[Date of Call]],"mmm")</f>
        <v>Feb</v>
      </c>
    </row>
    <row r="174" spans="1:12" x14ac:dyDescent="0.3">
      <c r="A174" t="s">
        <v>178</v>
      </c>
      <c r="B174" t="s">
        <v>1018</v>
      </c>
      <c r="C174">
        <v>126</v>
      </c>
      <c r="D174" t="s">
        <v>1027</v>
      </c>
      <c r="E174" t="s">
        <v>1067</v>
      </c>
      <c r="F174">
        <v>137</v>
      </c>
      <c r="G174">
        <v>4.9000000000000004</v>
      </c>
      <c r="H174">
        <f>ROUND(Calls[[#This Row],[Satisfactory Rating]],0)</f>
        <v>5</v>
      </c>
      <c r="I174" t="str" cm="1">
        <f t="array" ref="I174">_xlfn.IFS(Calls[[#This Row],[Duration (Min)]]&lt;=30,"Under 30 mins",Calls[[#This Row],[Duration (Min)]]&lt;=60,"Under 1h",Calls[[#This Row],[Duration (Min)]]&lt;=120,"Under 2",TRUE,"More than 2h")</f>
        <v>More than 2h</v>
      </c>
      <c r="J174">
        <f>IF(MONTH(Calls[[#This Row],[Date of Call]])&lt;=3,YEAR(Calls[[#This Row],[Date of Call]]),YEAR(Calls[[#This Row],[Date of Call]])+1)</f>
        <v>2025</v>
      </c>
      <c r="K174" t="str">
        <f>TEXT(Calls[[#This Row],[Date of Call]],"dddd")</f>
        <v>Tuesday</v>
      </c>
      <c r="L174" t="str">
        <f>TEXT(Calls[[#This Row],[Date of Call]],"mmm")</f>
        <v>Feb</v>
      </c>
    </row>
    <row r="175" spans="1:12" x14ac:dyDescent="0.3">
      <c r="A175" t="s">
        <v>179</v>
      </c>
      <c r="B175" t="s">
        <v>1015</v>
      </c>
      <c r="C175">
        <v>24</v>
      </c>
      <c r="D175" t="s">
        <v>1028</v>
      </c>
      <c r="E175" t="s">
        <v>1067</v>
      </c>
      <c r="F175">
        <v>32</v>
      </c>
      <c r="G175">
        <v>3</v>
      </c>
      <c r="H175">
        <f>ROUND(Calls[[#This Row],[Satisfactory Rating]],0)</f>
        <v>3</v>
      </c>
      <c r="I175" t="str" cm="1">
        <f t="array" ref="I175">_xlfn.IFS(Calls[[#This Row],[Duration (Min)]]&lt;=30,"Under 30 mins",Calls[[#This Row],[Duration (Min)]]&lt;=60,"Under 1h",Calls[[#This Row],[Duration (Min)]]&lt;=120,"Under 2",TRUE,"More than 2h")</f>
        <v>Under 30 mins</v>
      </c>
      <c r="J175">
        <f>IF(MONTH(Calls[[#This Row],[Date of Call]])&lt;=3,YEAR(Calls[[#This Row],[Date of Call]]),YEAR(Calls[[#This Row],[Date of Call]])+1)</f>
        <v>2025</v>
      </c>
      <c r="K175" t="str">
        <f>TEXT(Calls[[#This Row],[Date of Call]],"dddd")</f>
        <v>Tuesday</v>
      </c>
      <c r="L175" t="str">
        <f>TEXT(Calls[[#This Row],[Date of Call]],"mmm")</f>
        <v>Feb</v>
      </c>
    </row>
    <row r="176" spans="1:12" x14ac:dyDescent="0.3">
      <c r="A176" t="s">
        <v>180</v>
      </c>
      <c r="B176" t="s">
        <v>1019</v>
      </c>
      <c r="C176">
        <v>110</v>
      </c>
      <c r="D176" t="s">
        <v>1032</v>
      </c>
      <c r="E176" t="s">
        <v>1067</v>
      </c>
      <c r="F176">
        <v>62</v>
      </c>
      <c r="G176">
        <v>2.6</v>
      </c>
      <c r="H176">
        <f>ROUND(Calls[[#This Row],[Satisfactory Rating]],0)</f>
        <v>3</v>
      </c>
      <c r="I176" t="str" cm="1">
        <f t="array" ref="I176">_xlfn.IFS(Calls[[#This Row],[Duration (Min)]]&lt;=30,"Under 30 mins",Calls[[#This Row],[Duration (Min)]]&lt;=60,"Under 1h",Calls[[#This Row],[Duration (Min)]]&lt;=120,"Under 2",TRUE,"More than 2h")</f>
        <v>Under 2</v>
      </c>
      <c r="J176">
        <f>IF(MONTH(Calls[[#This Row],[Date of Call]])&lt;=3,YEAR(Calls[[#This Row],[Date of Call]]),YEAR(Calls[[#This Row],[Date of Call]])+1)</f>
        <v>2025</v>
      </c>
      <c r="K176" t="str">
        <f>TEXT(Calls[[#This Row],[Date of Call]],"dddd")</f>
        <v>Tuesday</v>
      </c>
      <c r="L176" t="str">
        <f>TEXT(Calls[[#This Row],[Date of Call]],"mmm")</f>
        <v>Feb</v>
      </c>
    </row>
    <row r="177" spans="1:12" x14ac:dyDescent="0.3">
      <c r="A177" t="s">
        <v>181</v>
      </c>
      <c r="B177" t="s">
        <v>1025</v>
      </c>
      <c r="C177">
        <v>99</v>
      </c>
      <c r="D177" t="s">
        <v>1031</v>
      </c>
      <c r="E177" t="s">
        <v>1068</v>
      </c>
      <c r="F177">
        <v>129</v>
      </c>
      <c r="G177">
        <v>3.9</v>
      </c>
      <c r="H177">
        <f>ROUND(Calls[[#This Row],[Satisfactory Rating]],0)</f>
        <v>4</v>
      </c>
      <c r="I177" t="str" cm="1">
        <f t="array" ref="I177">_xlfn.IFS(Calls[[#This Row],[Duration (Min)]]&lt;=30,"Under 30 mins",Calls[[#This Row],[Duration (Min)]]&lt;=60,"Under 1h",Calls[[#This Row],[Duration (Min)]]&lt;=120,"Under 2",TRUE,"More than 2h")</f>
        <v>Under 2</v>
      </c>
      <c r="J177">
        <f>IF(MONTH(Calls[[#This Row],[Date of Call]])&lt;=3,YEAR(Calls[[#This Row],[Date of Call]]),YEAR(Calls[[#This Row],[Date of Call]])+1)</f>
        <v>2025</v>
      </c>
      <c r="K177" t="str">
        <f>TEXT(Calls[[#This Row],[Date of Call]],"dddd")</f>
        <v>Wednesday</v>
      </c>
      <c r="L177" t="str">
        <f>TEXT(Calls[[#This Row],[Date of Call]],"mmm")</f>
        <v>Feb</v>
      </c>
    </row>
    <row r="178" spans="1:12" x14ac:dyDescent="0.3">
      <c r="A178" t="s">
        <v>182</v>
      </c>
      <c r="B178" t="s">
        <v>1016</v>
      </c>
      <c r="C178">
        <v>42</v>
      </c>
      <c r="D178" t="s">
        <v>1031</v>
      </c>
      <c r="E178" t="s">
        <v>1068</v>
      </c>
      <c r="F178">
        <v>94</v>
      </c>
      <c r="G178">
        <v>2.4</v>
      </c>
      <c r="H178">
        <f>ROUND(Calls[[#This Row],[Satisfactory Rating]],0)</f>
        <v>2</v>
      </c>
      <c r="I178" t="str" cm="1">
        <f t="array" ref="I178">_xlfn.IFS(Calls[[#This Row],[Duration (Min)]]&lt;=30,"Under 30 mins",Calls[[#This Row],[Duration (Min)]]&lt;=60,"Under 1h",Calls[[#This Row],[Duration (Min)]]&lt;=120,"Under 2",TRUE,"More than 2h")</f>
        <v>Under 1h</v>
      </c>
      <c r="J178">
        <f>IF(MONTH(Calls[[#This Row],[Date of Call]])&lt;=3,YEAR(Calls[[#This Row],[Date of Call]]),YEAR(Calls[[#This Row],[Date of Call]])+1)</f>
        <v>2025</v>
      </c>
      <c r="K178" t="str">
        <f>TEXT(Calls[[#This Row],[Date of Call]],"dddd")</f>
        <v>Wednesday</v>
      </c>
      <c r="L178" t="str">
        <f>TEXT(Calls[[#This Row],[Date of Call]],"mmm")</f>
        <v>Feb</v>
      </c>
    </row>
    <row r="179" spans="1:12" x14ac:dyDescent="0.3">
      <c r="A179" t="s">
        <v>183</v>
      </c>
      <c r="B179" t="s">
        <v>1020</v>
      </c>
      <c r="C179">
        <v>99</v>
      </c>
      <c r="D179" t="s">
        <v>1027</v>
      </c>
      <c r="E179" t="s">
        <v>1068</v>
      </c>
      <c r="F179">
        <v>131</v>
      </c>
      <c r="G179">
        <v>3.2</v>
      </c>
      <c r="H179">
        <f>ROUND(Calls[[#This Row],[Satisfactory Rating]],0)</f>
        <v>3</v>
      </c>
      <c r="I179" t="str" cm="1">
        <f t="array" ref="I179">_xlfn.IFS(Calls[[#This Row],[Duration (Min)]]&lt;=30,"Under 30 mins",Calls[[#This Row],[Duration (Min)]]&lt;=60,"Under 1h",Calls[[#This Row],[Duration (Min)]]&lt;=120,"Under 2",TRUE,"More than 2h")</f>
        <v>Under 2</v>
      </c>
      <c r="J179">
        <f>IF(MONTH(Calls[[#This Row],[Date of Call]])&lt;=3,YEAR(Calls[[#This Row],[Date of Call]]),YEAR(Calls[[#This Row],[Date of Call]])+1)</f>
        <v>2025</v>
      </c>
      <c r="K179" t="str">
        <f>TEXT(Calls[[#This Row],[Date of Call]],"dddd")</f>
        <v>Wednesday</v>
      </c>
      <c r="L179" t="str">
        <f>TEXT(Calls[[#This Row],[Date of Call]],"mmm")</f>
        <v>Feb</v>
      </c>
    </row>
    <row r="180" spans="1:12" x14ac:dyDescent="0.3">
      <c r="A180" t="s">
        <v>184</v>
      </c>
      <c r="B180" t="s">
        <v>1007</v>
      </c>
      <c r="C180">
        <v>106</v>
      </c>
      <c r="D180" t="s">
        <v>1027</v>
      </c>
      <c r="E180" t="s">
        <v>1068</v>
      </c>
      <c r="F180">
        <v>60</v>
      </c>
      <c r="G180">
        <v>2.1</v>
      </c>
      <c r="H180">
        <f>ROUND(Calls[[#This Row],[Satisfactory Rating]],0)</f>
        <v>2</v>
      </c>
      <c r="I180" t="str" cm="1">
        <f t="array" ref="I180">_xlfn.IFS(Calls[[#This Row],[Duration (Min)]]&lt;=30,"Under 30 mins",Calls[[#This Row],[Duration (Min)]]&lt;=60,"Under 1h",Calls[[#This Row],[Duration (Min)]]&lt;=120,"Under 2",TRUE,"More than 2h")</f>
        <v>Under 2</v>
      </c>
      <c r="J180">
        <f>IF(MONTH(Calls[[#This Row],[Date of Call]])&lt;=3,YEAR(Calls[[#This Row],[Date of Call]]),YEAR(Calls[[#This Row],[Date of Call]])+1)</f>
        <v>2025</v>
      </c>
      <c r="K180" t="str">
        <f>TEXT(Calls[[#This Row],[Date of Call]],"dddd")</f>
        <v>Wednesday</v>
      </c>
      <c r="L180" t="str">
        <f>TEXT(Calls[[#This Row],[Date of Call]],"mmm")</f>
        <v>Feb</v>
      </c>
    </row>
    <row r="181" spans="1:12" x14ac:dyDescent="0.3">
      <c r="A181" t="s">
        <v>185</v>
      </c>
      <c r="B181" t="s">
        <v>1015</v>
      </c>
      <c r="C181">
        <v>17</v>
      </c>
      <c r="D181" t="s">
        <v>1029</v>
      </c>
      <c r="E181" t="s">
        <v>1068</v>
      </c>
      <c r="F181">
        <v>41</v>
      </c>
      <c r="G181">
        <v>3.2</v>
      </c>
      <c r="H181">
        <f>ROUND(Calls[[#This Row],[Satisfactory Rating]],0)</f>
        <v>3</v>
      </c>
      <c r="I181" t="str" cm="1">
        <f t="array" ref="I181">_xlfn.IFS(Calls[[#This Row],[Duration (Min)]]&lt;=30,"Under 30 mins",Calls[[#This Row],[Duration (Min)]]&lt;=60,"Under 1h",Calls[[#This Row],[Duration (Min)]]&lt;=120,"Under 2",TRUE,"More than 2h")</f>
        <v>Under 30 mins</v>
      </c>
      <c r="J181">
        <f>IF(MONTH(Calls[[#This Row],[Date of Call]])&lt;=3,YEAR(Calls[[#This Row],[Date of Call]]),YEAR(Calls[[#This Row],[Date of Call]])+1)</f>
        <v>2025</v>
      </c>
      <c r="K181" t="str">
        <f>TEXT(Calls[[#This Row],[Date of Call]],"dddd")</f>
        <v>Wednesday</v>
      </c>
      <c r="L181" t="str">
        <f>TEXT(Calls[[#This Row],[Date of Call]],"mmm")</f>
        <v>Feb</v>
      </c>
    </row>
    <row r="182" spans="1:12" x14ac:dyDescent="0.3">
      <c r="A182" t="s">
        <v>186</v>
      </c>
      <c r="B182" t="s">
        <v>1011</v>
      </c>
      <c r="C182">
        <v>87</v>
      </c>
      <c r="D182" t="s">
        <v>1030</v>
      </c>
      <c r="E182" t="s">
        <v>1069</v>
      </c>
      <c r="F182">
        <v>27</v>
      </c>
      <c r="G182">
        <v>2.8</v>
      </c>
      <c r="H182">
        <f>ROUND(Calls[[#This Row],[Satisfactory Rating]],0)</f>
        <v>3</v>
      </c>
      <c r="I182" t="str" cm="1">
        <f t="array" ref="I182">_xlfn.IFS(Calls[[#This Row],[Duration (Min)]]&lt;=30,"Under 30 mins",Calls[[#This Row],[Duration (Min)]]&lt;=60,"Under 1h",Calls[[#This Row],[Duration (Min)]]&lt;=120,"Under 2",TRUE,"More than 2h")</f>
        <v>Under 2</v>
      </c>
      <c r="J182">
        <f>IF(MONTH(Calls[[#This Row],[Date of Call]])&lt;=3,YEAR(Calls[[#This Row],[Date of Call]]),YEAR(Calls[[#This Row],[Date of Call]])+1)</f>
        <v>2025</v>
      </c>
      <c r="K182" t="str">
        <f>TEXT(Calls[[#This Row],[Date of Call]],"dddd")</f>
        <v>Thursday</v>
      </c>
      <c r="L182" t="str">
        <f>TEXT(Calls[[#This Row],[Date of Call]],"mmm")</f>
        <v>Feb</v>
      </c>
    </row>
    <row r="183" spans="1:12" x14ac:dyDescent="0.3">
      <c r="A183" t="s">
        <v>187</v>
      </c>
      <c r="B183" t="s">
        <v>1017</v>
      </c>
      <c r="C183">
        <v>145</v>
      </c>
      <c r="D183" t="s">
        <v>1028</v>
      </c>
      <c r="E183" t="s">
        <v>1069</v>
      </c>
      <c r="F183">
        <v>98</v>
      </c>
      <c r="G183">
        <v>4.3</v>
      </c>
      <c r="H183">
        <f>ROUND(Calls[[#This Row],[Satisfactory Rating]],0)</f>
        <v>4</v>
      </c>
      <c r="I183" t="str" cm="1">
        <f t="array" ref="I183">_xlfn.IFS(Calls[[#This Row],[Duration (Min)]]&lt;=30,"Under 30 mins",Calls[[#This Row],[Duration (Min)]]&lt;=60,"Under 1h",Calls[[#This Row],[Duration (Min)]]&lt;=120,"Under 2",TRUE,"More than 2h")</f>
        <v>More than 2h</v>
      </c>
      <c r="J183">
        <f>IF(MONTH(Calls[[#This Row],[Date of Call]])&lt;=3,YEAR(Calls[[#This Row],[Date of Call]]),YEAR(Calls[[#This Row],[Date of Call]])+1)</f>
        <v>2025</v>
      </c>
      <c r="K183" t="str">
        <f>TEXT(Calls[[#This Row],[Date of Call]],"dddd")</f>
        <v>Thursday</v>
      </c>
      <c r="L183" t="str">
        <f>TEXT(Calls[[#This Row],[Date of Call]],"mmm")</f>
        <v>Feb</v>
      </c>
    </row>
    <row r="184" spans="1:12" x14ac:dyDescent="0.3">
      <c r="A184" t="s">
        <v>188</v>
      </c>
      <c r="B184" t="s">
        <v>1012</v>
      </c>
      <c r="C184">
        <v>89</v>
      </c>
      <c r="D184" t="s">
        <v>1026</v>
      </c>
      <c r="E184" t="s">
        <v>1069</v>
      </c>
      <c r="F184">
        <v>36</v>
      </c>
      <c r="G184">
        <v>3.9</v>
      </c>
      <c r="H184">
        <f>ROUND(Calls[[#This Row],[Satisfactory Rating]],0)</f>
        <v>4</v>
      </c>
      <c r="I184" t="str" cm="1">
        <f t="array" ref="I184">_xlfn.IFS(Calls[[#This Row],[Duration (Min)]]&lt;=30,"Under 30 mins",Calls[[#This Row],[Duration (Min)]]&lt;=60,"Under 1h",Calls[[#This Row],[Duration (Min)]]&lt;=120,"Under 2",TRUE,"More than 2h")</f>
        <v>Under 2</v>
      </c>
      <c r="J184">
        <f>IF(MONTH(Calls[[#This Row],[Date of Call]])&lt;=3,YEAR(Calls[[#This Row],[Date of Call]]),YEAR(Calls[[#This Row],[Date of Call]])+1)</f>
        <v>2025</v>
      </c>
      <c r="K184" t="str">
        <f>TEXT(Calls[[#This Row],[Date of Call]],"dddd")</f>
        <v>Thursday</v>
      </c>
      <c r="L184" t="str">
        <f>TEXT(Calls[[#This Row],[Date of Call]],"mmm")</f>
        <v>Feb</v>
      </c>
    </row>
    <row r="185" spans="1:12" x14ac:dyDescent="0.3">
      <c r="A185" t="s">
        <v>189</v>
      </c>
      <c r="B185" t="s">
        <v>1025</v>
      </c>
      <c r="C185">
        <v>130</v>
      </c>
      <c r="D185" t="s">
        <v>1026</v>
      </c>
      <c r="E185" t="s">
        <v>1069</v>
      </c>
      <c r="F185">
        <v>35</v>
      </c>
      <c r="G185">
        <v>4.2</v>
      </c>
      <c r="H185">
        <f>ROUND(Calls[[#This Row],[Satisfactory Rating]],0)</f>
        <v>4</v>
      </c>
      <c r="I185" t="str" cm="1">
        <f t="array" ref="I185">_xlfn.IFS(Calls[[#This Row],[Duration (Min)]]&lt;=30,"Under 30 mins",Calls[[#This Row],[Duration (Min)]]&lt;=60,"Under 1h",Calls[[#This Row],[Duration (Min)]]&lt;=120,"Under 2",TRUE,"More than 2h")</f>
        <v>More than 2h</v>
      </c>
      <c r="J185">
        <f>IF(MONTH(Calls[[#This Row],[Date of Call]])&lt;=3,YEAR(Calls[[#This Row],[Date of Call]]),YEAR(Calls[[#This Row],[Date of Call]])+1)</f>
        <v>2025</v>
      </c>
      <c r="K185" t="str">
        <f>TEXT(Calls[[#This Row],[Date of Call]],"dddd")</f>
        <v>Thursday</v>
      </c>
      <c r="L185" t="str">
        <f>TEXT(Calls[[#This Row],[Date of Call]],"mmm")</f>
        <v>Feb</v>
      </c>
    </row>
    <row r="186" spans="1:12" x14ac:dyDescent="0.3">
      <c r="A186" t="s">
        <v>190</v>
      </c>
      <c r="B186" t="s">
        <v>1017</v>
      </c>
      <c r="C186">
        <v>109</v>
      </c>
      <c r="D186" t="s">
        <v>1032</v>
      </c>
      <c r="E186" t="s">
        <v>1069</v>
      </c>
      <c r="F186">
        <v>147</v>
      </c>
      <c r="G186">
        <v>4.3</v>
      </c>
      <c r="H186">
        <f>ROUND(Calls[[#This Row],[Satisfactory Rating]],0)</f>
        <v>4</v>
      </c>
      <c r="I186" t="str" cm="1">
        <f t="array" ref="I186">_xlfn.IFS(Calls[[#This Row],[Duration (Min)]]&lt;=30,"Under 30 mins",Calls[[#This Row],[Duration (Min)]]&lt;=60,"Under 1h",Calls[[#This Row],[Duration (Min)]]&lt;=120,"Under 2",TRUE,"More than 2h")</f>
        <v>Under 2</v>
      </c>
      <c r="J186">
        <f>IF(MONTH(Calls[[#This Row],[Date of Call]])&lt;=3,YEAR(Calls[[#This Row],[Date of Call]]),YEAR(Calls[[#This Row],[Date of Call]])+1)</f>
        <v>2025</v>
      </c>
      <c r="K186" t="str">
        <f>TEXT(Calls[[#This Row],[Date of Call]],"dddd")</f>
        <v>Thursday</v>
      </c>
      <c r="L186" t="str">
        <f>TEXT(Calls[[#This Row],[Date of Call]],"mmm")</f>
        <v>Feb</v>
      </c>
    </row>
    <row r="187" spans="1:12" x14ac:dyDescent="0.3">
      <c r="A187" t="s">
        <v>191</v>
      </c>
      <c r="B187" t="s">
        <v>1024</v>
      </c>
      <c r="C187">
        <v>87</v>
      </c>
      <c r="D187" t="s">
        <v>1028</v>
      </c>
      <c r="E187" t="s">
        <v>1070</v>
      </c>
      <c r="F187">
        <v>67</v>
      </c>
      <c r="G187">
        <v>4.8</v>
      </c>
      <c r="H187">
        <f>ROUND(Calls[[#This Row],[Satisfactory Rating]],0)</f>
        <v>5</v>
      </c>
      <c r="I187" t="str" cm="1">
        <f t="array" ref="I187">_xlfn.IFS(Calls[[#This Row],[Duration (Min)]]&lt;=30,"Under 30 mins",Calls[[#This Row],[Duration (Min)]]&lt;=60,"Under 1h",Calls[[#This Row],[Duration (Min)]]&lt;=120,"Under 2",TRUE,"More than 2h")</f>
        <v>Under 2</v>
      </c>
      <c r="J187">
        <f>IF(MONTH(Calls[[#This Row],[Date of Call]])&lt;=3,YEAR(Calls[[#This Row],[Date of Call]]),YEAR(Calls[[#This Row],[Date of Call]])+1)</f>
        <v>2025</v>
      </c>
      <c r="K187" t="str">
        <f>TEXT(Calls[[#This Row],[Date of Call]],"dddd")</f>
        <v>Friday</v>
      </c>
      <c r="L187" t="str">
        <f>TEXT(Calls[[#This Row],[Date of Call]],"mmm")</f>
        <v>Feb</v>
      </c>
    </row>
    <row r="188" spans="1:12" x14ac:dyDescent="0.3">
      <c r="A188" t="s">
        <v>192</v>
      </c>
      <c r="B188" t="s">
        <v>1025</v>
      </c>
      <c r="C188">
        <v>157</v>
      </c>
      <c r="D188" t="s">
        <v>1028</v>
      </c>
      <c r="E188" t="s">
        <v>1070</v>
      </c>
      <c r="F188">
        <v>146</v>
      </c>
      <c r="G188">
        <v>3.5</v>
      </c>
      <c r="H188">
        <f>ROUND(Calls[[#This Row],[Satisfactory Rating]],0)</f>
        <v>4</v>
      </c>
      <c r="I188" t="str" cm="1">
        <f t="array" ref="I188">_xlfn.IFS(Calls[[#This Row],[Duration (Min)]]&lt;=30,"Under 30 mins",Calls[[#This Row],[Duration (Min)]]&lt;=60,"Under 1h",Calls[[#This Row],[Duration (Min)]]&lt;=120,"Under 2",TRUE,"More than 2h")</f>
        <v>More than 2h</v>
      </c>
      <c r="J188">
        <f>IF(MONTH(Calls[[#This Row],[Date of Call]])&lt;=3,YEAR(Calls[[#This Row],[Date of Call]]),YEAR(Calls[[#This Row],[Date of Call]])+1)</f>
        <v>2025</v>
      </c>
      <c r="K188" t="str">
        <f>TEXT(Calls[[#This Row],[Date of Call]],"dddd")</f>
        <v>Friday</v>
      </c>
      <c r="L188" t="str">
        <f>TEXT(Calls[[#This Row],[Date of Call]],"mmm")</f>
        <v>Feb</v>
      </c>
    </row>
    <row r="189" spans="1:12" x14ac:dyDescent="0.3">
      <c r="A189" t="s">
        <v>193</v>
      </c>
      <c r="B189" t="s">
        <v>1022</v>
      </c>
      <c r="C189">
        <v>69</v>
      </c>
      <c r="D189" t="s">
        <v>1031</v>
      </c>
      <c r="E189" t="s">
        <v>1070</v>
      </c>
      <c r="F189">
        <v>79</v>
      </c>
      <c r="G189">
        <v>4.3</v>
      </c>
      <c r="H189">
        <f>ROUND(Calls[[#This Row],[Satisfactory Rating]],0)</f>
        <v>4</v>
      </c>
      <c r="I189" t="str" cm="1">
        <f t="array" ref="I189">_xlfn.IFS(Calls[[#This Row],[Duration (Min)]]&lt;=30,"Under 30 mins",Calls[[#This Row],[Duration (Min)]]&lt;=60,"Under 1h",Calls[[#This Row],[Duration (Min)]]&lt;=120,"Under 2",TRUE,"More than 2h")</f>
        <v>Under 2</v>
      </c>
      <c r="J189">
        <f>IF(MONTH(Calls[[#This Row],[Date of Call]])&lt;=3,YEAR(Calls[[#This Row],[Date of Call]]),YEAR(Calls[[#This Row],[Date of Call]])+1)</f>
        <v>2025</v>
      </c>
      <c r="K189" t="str">
        <f>TEXT(Calls[[#This Row],[Date of Call]],"dddd")</f>
        <v>Friday</v>
      </c>
      <c r="L189" t="str">
        <f>TEXT(Calls[[#This Row],[Date of Call]],"mmm")</f>
        <v>Feb</v>
      </c>
    </row>
    <row r="190" spans="1:12" x14ac:dyDescent="0.3">
      <c r="A190" t="s">
        <v>194</v>
      </c>
      <c r="B190" t="s">
        <v>1015</v>
      </c>
      <c r="C190">
        <v>19</v>
      </c>
      <c r="D190" t="s">
        <v>1027</v>
      </c>
      <c r="E190" t="s">
        <v>1070</v>
      </c>
      <c r="F190">
        <v>98</v>
      </c>
      <c r="G190">
        <v>2.6</v>
      </c>
      <c r="H190">
        <f>ROUND(Calls[[#This Row],[Satisfactory Rating]],0)</f>
        <v>3</v>
      </c>
      <c r="I190" t="str" cm="1">
        <f t="array" ref="I190">_xlfn.IFS(Calls[[#This Row],[Duration (Min)]]&lt;=30,"Under 30 mins",Calls[[#This Row],[Duration (Min)]]&lt;=60,"Under 1h",Calls[[#This Row],[Duration (Min)]]&lt;=120,"Under 2",TRUE,"More than 2h")</f>
        <v>Under 30 mins</v>
      </c>
      <c r="J190">
        <f>IF(MONTH(Calls[[#This Row],[Date of Call]])&lt;=3,YEAR(Calls[[#This Row],[Date of Call]]),YEAR(Calls[[#This Row],[Date of Call]])+1)</f>
        <v>2025</v>
      </c>
      <c r="K190" t="str">
        <f>TEXT(Calls[[#This Row],[Date of Call]],"dddd")</f>
        <v>Friday</v>
      </c>
      <c r="L190" t="str">
        <f>TEXT(Calls[[#This Row],[Date of Call]],"mmm")</f>
        <v>Feb</v>
      </c>
    </row>
    <row r="191" spans="1:12" x14ac:dyDescent="0.3">
      <c r="A191" t="s">
        <v>195</v>
      </c>
      <c r="B191" t="s">
        <v>1020</v>
      </c>
      <c r="C191">
        <v>95</v>
      </c>
      <c r="D191" t="s">
        <v>1027</v>
      </c>
      <c r="E191" t="s">
        <v>1070</v>
      </c>
      <c r="F191">
        <v>81</v>
      </c>
      <c r="G191">
        <v>4.3</v>
      </c>
      <c r="H191">
        <f>ROUND(Calls[[#This Row],[Satisfactory Rating]],0)</f>
        <v>4</v>
      </c>
      <c r="I191" t="str" cm="1">
        <f t="array" ref="I191">_xlfn.IFS(Calls[[#This Row],[Duration (Min)]]&lt;=30,"Under 30 mins",Calls[[#This Row],[Duration (Min)]]&lt;=60,"Under 1h",Calls[[#This Row],[Duration (Min)]]&lt;=120,"Under 2",TRUE,"More than 2h")</f>
        <v>Under 2</v>
      </c>
      <c r="J191">
        <f>IF(MONTH(Calls[[#This Row],[Date of Call]])&lt;=3,YEAR(Calls[[#This Row],[Date of Call]]),YEAR(Calls[[#This Row],[Date of Call]])+1)</f>
        <v>2025</v>
      </c>
      <c r="K191" t="str">
        <f>TEXT(Calls[[#This Row],[Date of Call]],"dddd")</f>
        <v>Friday</v>
      </c>
      <c r="L191" t="str">
        <f>TEXT(Calls[[#This Row],[Date of Call]],"mmm")</f>
        <v>Feb</v>
      </c>
    </row>
    <row r="192" spans="1:12" x14ac:dyDescent="0.3">
      <c r="A192" t="s">
        <v>196</v>
      </c>
      <c r="B192" t="s">
        <v>1013</v>
      </c>
      <c r="C192">
        <v>155</v>
      </c>
      <c r="D192" t="s">
        <v>1032</v>
      </c>
      <c r="E192" t="s">
        <v>1071</v>
      </c>
      <c r="F192">
        <v>138</v>
      </c>
      <c r="G192">
        <v>3.6</v>
      </c>
      <c r="H192">
        <f>ROUND(Calls[[#This Row],[Satisfactory Rating]],0)</f>
        <v>4</v>
      </c>
      <c r="I192" t="str" cm="1">
        <f t="array" ref="I192">_xlfn.IFS(Calls[[#This Row],[Duration (Min)]]&lt;=30,"Under 30 mins",Calls[[#This Row],[Duration (Min)]]&lt;=60,"Under 1h",Calls[[#This Row],[Duration (Min)]]&lt;=120,"Under 2",TRUE,"More than 2h")</f>
        <v>More than 2h</v>
      </c>
      <c r="J192">
        <f>IF(MONTH(Calls[[#This Row],[Date of Call]])&lt;=3,YEAR(Calls[[#This Row],[Date of Call]]),YEAR(Calls[[#This Row],[Date of Call]])+1)</f>
        <v>2025</v>
      </c>
      <c r="K192" t="str">
        <f>TEXT(Calls[[#This Row],[Date of Call]],"dddd")</f>
        <v>Saturday</v>
      </c>
      <c r="L192" t="str">
        <f>TEXT(Calls[[#This Row],[Date of Call]],"mmm")</f>
        <v>Feb</v>
      </c>
    </row>
    <row r="193" spans="1:12" x14ac:dyDescent="0.3">
      <c r="A193" t="s">
        <v>197</v>
      </c>
      <c r="B193" t="s">
        <v>1013</v>
      </c>
      <c r="C193">
        <v>134</v>
      </c>
      <c r="D193" t="s">
        <v>1031</v>
      </c>
      <c r="E193" t="s">
        <v>1071</v>
      </c>
      <c r="F193">
        <v>79</v>
      </c>
      <c r="G193">
        <v>2.9</v>
      </c>
      <c r="H193">
        <f>ROUND(Calls[[#This Row],[Satisfactory Rating]],0)</f>
        <v>3</v>
      </c>
      <c r="I193" t="str" cm="1">
        <f t="array" ref="I193">_xlfn.IFS(Calls[[#This Row],[Duration (Min)]]&lt;=30,"Under 30 mins",Calls[[#This Row],[Duration (Min)]]&lt;=60,"Under 1h",Calls[[#This Row],[Duration (Min)]]&lt;=120,"Under 2",TRUE,"More than 2h")</f>
        <v>More than 2h</v>
      </c>
      <c r="J193">
        <f>IF(MONTH(Calls[[#This Row],[Date of Call]])&lt;=3,YEAR(Calls[[#This Row],[Date of Call]]),YEAR(Calls[[#This Row],[Date of Call]])+1)</f>
        <v>2025</v>
      </c>
      <c r="K193" t="str">
        <f>TEXT(Calls[[#This Row],[Date of Call]],"dddd")</f>
        <v>Saturday</v>
      </c>
      <c r="L193" t="str">
        <f>TEXT(Calls[[#This Row],[Date of Call]],"mmm")</f>
        <v>Feb</v>
      </c>
    </row>
    <row r="194" spans="1:12" x14ac:dyDescent="0.3">
      <c r="A194" t="s">
        <v>198</v>
      </c>
      <c r="B194" t="s">
        <v>1025</v>
      </c>
      <c r="C194">
        <v>159</v>
      </c>
      <c r="D194" t="s">
        <v>1027</v>
      </c>
      <c r="E194" t="s">
        <v>1071</v>
      </c>
      <c r="F194">
        <v>86</v>
      </c>
      <c r="G194">
        <v>3.8</v>
      </c>
      <c r="H194">
        <f>ROUND(Calls[[#This Row],[Satisfactory Rating]],0)</f>
        <v>4</v>
      </c>
      <c r="I194" t="str" cm="1">
        <f t="array" ref="I194">_xlfn.IFS(Calls[[#This Row],[Duration (Min)]]&lt;=30,"Under 30 mins",Calls[[#This Row],[Duration (Min)]]&lt;=60,"Under 1h",Calls[[#This Row],[Duration (Min)]]&lt;=120,"Under 2",TRUE,"More than 2h")</f>
        <v>More than 2h</v>
      </c>
      <c r="J194">
        <f>IF(MONTH(Calls[[#This Row],[Date of Call]])&lt;=3,YEAR(Calls[[#This Row],[Date of Call]]),YEAR(Calls[[#This Row],[Date of Call]])+1)</f>
        <v>2025</v>
      </c>
      <c r="K194" t="str">
        <f>TEXT(Calls[[#This Row],[Date of Call]],"dddd")</f>
        <v>Saturday</v>
      </c>
      <c r="L194" t="str">
        <f>TEXT(Calls[[#This Row],[Date of Call]],"mmm")</f>
        <v>Feb</v>
      </c>
    </row>
    <row r="195" spans="1:12" x14ac:dyDescent="0.3">
      <c r="A195" t="s">
        <v>199</v>
      </c>
      <c r="B195" t="s">
        <v>1014</v>
      </c>
      <c r="C195">
        <v>148</v>
      </c>
      <c r="D195" t="s">
        <v>1032</v>
      </c>
      <c r="E195" t="s">
        <v>1071</v>
      </c>
      <c r="F195">
        <v>90</v>
      </c>
      <c r="G195">
        <v>4.9000000000000004</v>
      </c>
      <c r="H195">
        <f>ROUND(Calls[[#This Row],[Satisfactory Rating]],0)</f>
        <v>5</v>
      </c>
      <c r="I195" t="str" cm="1">
        <f t="array" ref="I195">_xlfn.IFS(Calls[[#This Row],[Duration (Min)]]&lt;=30,"Under 30 mins",Calls[[#This Row],[Duration (Min)]]&lt;=60,"Under 1h",Calls[[#This Row],[Duration (Min)]]&lt;=120,"Under 2",TRUE,"More than 2h")</f>
        <v>More than 2h</v>
      </c>
      <c r="J195">
        <f>IF(MONTH(Calls[[#This Row],[Date of Call]])&lt;=3,YEAR(Calls[[#This Row],[Date of Call]]),YEAR(Calls[[#This Row],[Date of Call]])+1)</f>
        <v>2025</v>
      </c>
      <c r="K195" t="str">
        <f>TEXT(Calls[[#This Row],[Date of Call]],"dddd")</f>
        <v>Saturday</v>
      </c>
      <c r="L195" t="str">
        <f>TEXT(Calls[[#This Row],[Date of Call]],"mmm")</f>
        <v>Feb</v>
      </c>
    </row>
    <row r="196" spans="1:12" x14ac:dyDescent="0.3">
      <c r="A196" t="s">
        <v>200</v>
      </c>
      <c r="B196" t="s">
        <v>1007</v>
      </c>
      <c r="C196">
        <v>128</v>
      </c>
      <c r="D196" t="s">
        <v>1031</v>
      </c>
      <c r="E196" t="s">
        <v>1071</v>
      </c>
      <c r="F196">
        <v>50</v>
      </c>
      <c r="G196">
        <v>4</v>
      </c>
      <c r="H196">
        <f>ROUND(Calls[[#This Row],[Satisfactory Rating]],0)</f>
        <v>4</v>
      </c>
      <c r="I196" t="str" cm="1">
        <f t="array" ref="I196">_xlfn.IFS(Calls[[#This Row],[Duration (Min)]]&lt;=30,"Under 30 mins",Calls[[#This Row],[Duration (Min)]]&lt;=60,"Under 1h",Calls[[#This Row],[Duration (Min)]]&lt;=120,"Under 2",TRUE,"More than 2h")</f>
        <v>More than 2h</v>
      </c>
      <c r="J196">
        <f>IF(MONTH(Calls[[#This Row],[Date of Call]])&lt;=3,YEAR(Calls[[#This Row],[Date of Call]]),YEAR(Calls[[#This Row],[Date of Call]])+1)</f>
        <v>2025</v>
      </c>
      <c r="K196" t="str">
        <f>TEXT(Calls[[#This Row],[Date of Call]],"dddd")</f>
        <v>Saturday</v>
      </c>
      <c r="L196" t="str">
        <f>TEXT(Calls[[#This Row],[Date of Call]],"mmm")</f>
        <v>Feb</v>
      </c>
    </row>
    <row r="197" spans="1:12" x14ac:dyDescent="0.3">
      <c r="A197" t="s">
        <v>201</v>
      </c>
      <c r="B197" t="s">
        <v>1015</v>
      </c>
      <c r="C197">
        <v>133</v>
      </c>
      <c r="D197" t="s">
        <v>1028</v>
      </c>
      <c r="E197" t="s">
        <v>1072</v>
      </c>
      <c r="F197">
        <v>118</v>
      </c>
      <c r="G197">
        <v>4.5999999999999996</v>
      </c>
      <c r="H197">
        <f>ROUND(Calls[[#This Row],[Satisfactory Rating]],0)</f>
        <v>5</v>
      </c>
      <c r="I197" t="str" cm="1">
        <f t="array" ref="I197">_xlfn.IFS(Calls[[#This Row],[Duration (Min)]]&lt;=30,"Under 30 mins",Calls[[#This Row],[Duration (Min)]]&lt;=60,"Under 1h",Calls[[#This Row],[Duration (Min)]]&lt;=120,"Under 2",TRUE,"More than 2h")</f>
        <v>More than 2h</v>
      </c>
      <c r="J197">
        <f>IF(MONTH(Calls[[#This Row],[Date of Call]])&lt;=3,YEAR(Calls[[#This Row],[Date of Call]]),YEAR(Calls[[#This Row],[Date of Call]])+1)</f>
        <v>2025</v>
      </c>
      <c r="K197" t="str">
        <f>TEXT(Calls[[#This Row],[Date of Call]],"dddd")</f>
        <v>Sunday</v>
      </c>
      <c r="L197" t="str">
        <f>TEXT(Calls[[#This Row],[Date of Call]],"mmm")</f>
        <v>Feb</v>
      </c>
    </row>
    <row r="198" spans="1:12" x14ac:dyDescent="0.3">
      <c r="A198" t="s">
        <v>202</v>
      </c>
      <c r="B198" t="s">
        <v>1016</v>
      </c>
      <c r="C198">
        <v>74</v>
      </c>
      <c r="D198" t="s">
        <v>1032</v>
      </c>
      <c r="E198" t="s">
        <v>1072</v>
      </c>
      <c r="F198">
        <v>64</v>
      </c>
      <c r="G198">
        <v>3</v>
      </c>
      <c r="H198">
        <f>ROUND(Calls[[#This Row],[Satisfactory Rating]],0)</f>
        <v>3</v>
      </c>
      <c r="I198" t="str" cm="1">
        <f t="array" ref="I198">_xlfn.IFS(Calls[[#This Row],[Duration (Min)]]&lt;=30,"Under 30 mins",Calls[[#This Row],[Duration (Min)]]&lt;=60,"Under 1h",Calls[[#This Row],[Duration (Min)]]&lt;=120,"Under 2",TRUE,"More than 2h")</f>
        <v>Under 2</v>
      </c>
      <c r="J198">
        <f>IF(MONTH(Calls[[#This Row],[Date of Call]])&lt;=3,YEAR(Calls[[#This Row],[Date of Call]]),YEAR(Calls[[#This Row],[Date of Call]])+1)</f>
        <v>2025</v>
      </c>
      <c r="K198" t="str">
        <f>TEXT(Calls[[#This Row],[Date of Call]],"dddd")</f>
        <v>Sunday</v>
      </c>
      <c r="L198" t="str">
        <f>TEXT(Calls[[#This Row],[Date of Call]],"mmm")</f>
        <v>Feb</v>
      </c>
    </row>
    <row r="199" spans="1:12" x14ac:dyDescent="0.3">
      <c r="A199" t="s">
        <v>203</v>
      </c>
      <c r="B199" t="s">
        <v>1012</v>
      </c>
      <c r="C199">
        <v>39</v>
      </c>
      <c r="D199" t="s">
        <v>1030</v>
      </c>
      <c r="E199" t="s">
        <v>1072</v>
      </c>
      <c r="F199">
        <v>33</v>
      </c>
      <c r="G199">
        <v>3.5</v>
      </c>
      <c r="H199">
        <f>ROUND(Calls[[#This Row],[Satisfactory Rating]],0)</f>
        <v>4</v>
      </c>
      <c r="I199" t="str" cm="1">
        <f t="array" ref="I199">_xlfn.IFS(Calls[[#This Row],[Duration (Min)]]&lt;=30,"Under 30 mins",Calls[[#This Row],[Duration (Min)]]&lt;=60,"Under 1h",Calls[[#This Row],[Duration (Min)]]&lt;=120,"Under 2",TRUE,"More than 2h")</f>
        <v>Under 1h</v>
      </c>
      <c r="J199">
        <f>IF(MONTH(Calls[[#This Row],[Date of Call]])&lt;=3,YEAR(Calls[[#This Row],[Date of Call]]),YEAR(Calls[[#This Row],[Date of Call]])+1)</f>
        <v>2025</v>
      </c>
      <c r="K199" t="str">
        <f>TEXT(Calls[[#This Row],[Date of Call]],"dddd")</f>
        <v>Sunday</v>
      </c>
      <c r="L199" t="str">
        <f>TEXT(Calls[[#This Row],[Date of Call]],"mmm")</f>
        <v>Feb</v>
      </c>
    </row>
    <row r="200" spans="1:12" x14ac:dyDescent="0.3">
      <c r="A200" t="s">
        <v>204</v>
      </c>
      <c r="B200" t="s">
        <v>1011</v>
      </c>
      <c r="C200">
        <v>93</v>
      </c>
      <c r="D200" t="s">
        <v>1032</v>
      </c>
      <c r="E200" t="s">
        <v>1072</v>
      </c>
      <c r="F200">
        <v>95</v>
      </c>
      <c r="G200">
        <v>1.1000000000000001</v>
      </c>
      <c r="H200">
        <f>ROUND(Calls[[#This Row],[Satisfactory Rating]],0)</f>
        <v>1</v>
      </c>
      <c r="I200" t="str" cm="1">
        <f t="array" ref="I200">_xlfn.IFS(Calls[[#This Row],[Duration (Min)]]&lt;=30,"Under 30 mins",Calls[[#This Row],[Duration (Min)]]&lt;=60,"Under 1h",Calls[[#This Row],[Duration (Min)]]&lt;=120,"Under 2",TRUE,"More than 2h")</f>
        <v>Under 2</v>
      </c>
      <c r="J200">
        <f>IF(MONTH(Calls[[#This Row],[Date of Call]])&lt;=3,YEAR(Calls[[#This Row],[Date of Call]]),YEAR(Calls[[#This Row],[Date of Call]])+1)</f>
        <v>2025</v>
      </c>
      <c r="K200" t="str">
        <f>TEXT(Calls[[#This Row],[Date of Call]],"dddd")</f>
        <v>Sunday</v>
      </c>
      <c r="L200" t="str">
        <f>TEXT(Calls[[#This Row],[Date of Call]],"mmm")</f>
        <v>Feb</v>
      </c>
    </row>
    <row r="201" spans="1:12" x14ac:dyDescent="0.3">
      <c r="A201" t="s">
        <v>205</v>
      </c>
      <c r="B201" t="s">
        <v>1024</v>
      </c>
      <c r="C201">
        <v>82</v>
      </c>
      <c r="D201" t="s">
        <v>1032</v>
      </c>
      <c r="E201" t="s">
        <v>1072</v>
      </c>
      <c r="F201">
        <v>74</v>
      </c>
      <c r="G201">
        <v>2.5</v>
      </c>
      <c r="H201">
        <f>ROUND(Calls[[#This Row],[Satisfactory Rating]],0)</f>
        <v>3</v>
      </c>
      <c r="I201" t="str" cm="1">
        <f t="array" ref="I201">_xlfn.IFS(Calls[[#This Row],[Duration (Min)]]&lt;=30,"Under 30 mins",Calls[[#This Row],[Duration (Min)]]&lt;=60,"Under 1h",Calls[[#This Row],[Duration (Min)]]&lt;=120,"Under 2",TRUE,"More than 2h")</f>
        <v>Under 2</v>
      </c>
      <c r="J201">
        <f>IF(MONTH(Calls[[#This Row],[Date of Call]])&lt;=3,YEAR(Calls[[#This Row],[Date of Call]]),YEAR(Calls[[#This Row],[Date of Call]])+1)</f>
        <v>2025</v>
      </c>
      <c r="K201" t="str">
        <f>TEXT(Calls[[#This Row],[Date of Call]],"dddd")</f>
        <v>Sunday</v>
      </c>
      <c r="L201" t="str">
        <f>TEXT(Calls[[#This Row],[Date of Call]],"mmm")</f>
        <v>Feb</v>
      </c>
    </row>
    <row r="202" spans="1:12" x14ac:dyDescent="0.3">
      <c r="A202" t="s">
        <v>206</v>
      </c>
      <c r="B202" t="s">
        <v>1022</v>
      </c>
      <c r="C202">
        <v>75</v>
      </c>
      <c r="D202" t="s">
        <v>1027</v>
      </c>
      <c r="E202" t="s">
        <v>1073</v>
      </c>
      <c r="F202">
        <v>25</v>
      </c>
      <c r="G202">
        <v>4.9000000000000004</v>
      </c>
      <c r="H202">
        <f>ROUND(Calls[[#This Row],[Satisfactory Rating]],0)</f>
        <v>5</v>
      </c>
      <c r="I202" t="str" cm="1">
        <f t="array" ref="I202">_xlfn.IFS(Calls[[#This Row],[Duration (Min)]]&lt;=30,"Under 30 mins",Calls[[#This Row],[Duration (Min)]]&lt;=60,"Under 1h",Calls[[#This Row],[Duration (Min)]]&lt;=120,"Under 2",TRUE,"More than 2h")</f>
        <v>Under 2</v>
      </c>
      <c r="J202">
        <f>IF(MONTH(Calls[[#This Row],[Date of Call]])&lt;=3,YEAR(Calls[[#This Row],[Date of Call]]),YEAR(Calls[[#This Row],[Date of Call]])+1)</f>
        <v>2025</v>
      </c>
      <c r="K202" t="str">
        <f>TEXT(Calls[[#This Row],[Date of Call]],"dddd")</f>
        <v>Monday</v>
      </c>
      <c r="L202" t="str">
        <f>TEXT(Calls[[#This Row],[Date of Call]],"mmm")</f>
        <v>Feb</v>
      </c>
    </row>
    <row r="203" spans="1:12" x14ac:dyDescent="0.3">
      <c r="A203" t="s">
        <v>207</v>
      </c>
      <c r="B203" t="s">
        <v>1015</v>
      </c>
      <c r="C203">
        <v>72</v>
      </c>
      <c r="D203" t="s">
        <v>1032</v>
      </c>
      <c r="E203" t="s">
        <v>1073</v>
      </c>
      <c r="F203">
        <v>33</v>
      </c>
      <c r="G203">
        <v>3.3</v>
      </c>
      <c r="H203">
        <f>ROUND(Calls[[#This Row],[Satisfactory Rating]],0)</f>
        <v>3</v>
      </c>
      <c r="I203" t="str" cm="1">
        <f t="array" ref="I203">_xlfn.IFS(Calls[[#This Row],[Duration (Min)]]&lt;=30,"Under 30 mins",Calls[[#This Row],[Duration (Min)]]&lt;=60,"Under 1h",Calls[[#This Row],[Duration (Min)]]&lt;=120,"Under 2",TRUE,"More than 2h")</f>
        <v>Under 2</v>
      </c>
      <c r="J203">
        <f>IF(MONTH(Calls[[#This Row],[Date of Call]])&lt;=3,YEAR(Calls[[#This Row],[Date of Call]]),YEAR(Calls[[#This Row],[Date of Call]])+1)</f>
        <v>2025</v>
      </c>
      <c r="K203" t="str">
        <f>TEXT(Calls[[#This Row],[Date of Call]],"dddd")</f>
        <v>Monday</v>
      </c>
      <c r="L203" t="str">
        <f>TEXT(Calls[[#This Row],[Date of Call]],"mmm")</f>
        <v>Feb</v>
      </c>
    </row>
    <row r="204" spans="1:12" x14ac:dyDescent="0.3">
      <c r="A204" t="s">
        <v>208</v>
      </c>
      <c r="B204" t="s">
        <v>1010</v>
      </c>
      <c r="C204">
        <v>103</v>
      </c>
      <c r="D204" t="s">
        <v>1028</v>
      </c>
      <c r="E204" t="s">
        <v>1073</v>
      </c>
      <c r="F204">
        <v>141</v>
      </c>
      <c r="G204">
        <v>4.8</v>
      </c>
      <c r="H204">
        <f>ROUND(Calls[[#This Row],[Satisfactory Rating]],0)</f>
        <v>5</v>
      </c>
      <c r="I204" t="str" cm="1">
        <f t="array" ref="I204">_xlfn.IFS(Calls[[#This Row],[Duration (Min)]]&lt;=30,"Under 30 mins",Calls[[#This Row],[Duration (Min)]]&lt;=60,"Under 1h",Calls[[#This Row],[Duration (Min)]]&lt;=120,"Under 2",TRUE,"More than 2h")</f>
        <v>Under 2</v>
      </c>
      <c r="J204">
        <f>IF(MONTH(Calls[[#This Row],[Date of Call]])&lt;=3,YEAR(Calls[[#This Row],[Date of Call]]),YEAR(Calls[[#This Row],[Date of Call]])+1)</f>
        <v>2025</v>
      </c>
      <c r="K204" t="str">
        <f>TEXT(Calls[[#This Row],[Date of Call]],"dddd")</f>
        <v>Monday</v>
      </c>
      <c r="L204" t="str">
        <f>TEXT(Calls[[#This Row],[Date of Call]],"mmm")</f>
        <v>Feb</v>
      </c>
    </row>
    <row r="205" spans="1:12" x14ac:dyDescent="0.3">
      <c r="A205" t="s">
        <v>209</v>
      </c>
      <c r="B205" t="s">
        <v>1007</v>
      </c>
      <c r="C205">
        <v>99</v>
      </c>
      <c r="D205" t="s">
        <v>1031</v>
      </c>
      <c r="E205" t="s">
        <v>1073</v>
      </c>
      <c r="F205">
        <v>132</v>
      </c>
      <c r="G205">
        <v>3.5</v>
      </c>
      <c r="H205">
        <f>ROUND(Calls[[#This Row],[Satisfactory Rating]],0)</f>
        <v>4</v>
      </c>
      <c r="I205" t="str" cm="1">
        <f t="array" ref="I205">_xlfn.IFS(Calls[[#This Row],[Duration (Min)]]&lt;=30,"Under 30 mins",Calls[[#This Row],[Duration (Min)]]&lt;=60,"Under 1h",Calls[[#This Row],[Duration (Min)]]&lt;=120,"Under 2",TRUE,"More than 2h")</f>
        <v>Under 2</v>
      </c>
      <c r="J205">
        <f>IF(MONTH(Calls[[#This Row],[Date of Call]])&lt;=3,YEAR(Calls[[#This Row],[Date of Call]]),YEAR(Calls[[#This Row],[Date of Call]])+1)</f>
        <v>2025</v>
      </c>
      <c r="K205" t="str">
        <f>TEXT(Calls[[#This Row],[Date of Call]],"dddd")</f>
        <v>Monday</v>
      </c>
      <c r="L205" t="str">
        <f>TEXT(Calls[[#This Row],[Date of Call]],"mmm")</f>
        <v>Feb</v>
      </c>
    </row>
    <row r="206" spans="1:12" x14ac:dyDescent="0.3">
      <c r="A206" t="s">
        <v>210</v>
      </c>
      <c r="B206" t="s">
        <v>1011</v>
      </c>
      <c r="C206">
        <v>122</v>
      </c>
      <c r="D206" t="s">
        <v>1030</v>
      </c>
      <c r="E206" t="s">
        <v>1073</v>
      </c>
      <c r="F206">
        <v>78</v>
      </c>
      <c r="G206">
        <v>1.8</v>
      </c>
      <c r="H206">
        <f>ROUND(Calls[[#This Row],[Satisfactory Rating]],0)</f>
        <v>2</v>
      </c>
      <c r="I206" t="str" cm="1">
        <f t="array" ref="I206">_xlfn.IFS(Calls[[#This Row],[Duration (Min)]]&lt;=30,"Under 30 mins",Calls[[#This Row],[Duration (Min)]]&lt;=60,"Under 1h",Calls[[#This Row],[Duration (Min)]]&lt;=120,"Under 2",TRUE,"More than 2h")</f>
        <v>More than 2h</v>
      </c>
      <c r="J206">
        <f>IF(MONTH(Calls[[#This Row],[Date of Call]])&lt;=3,YEAR(Calls[[#This Row],[Date of Call]]),YEAR(Calls[[#This Row],[Date of Call]])+1)</f>
        <v>2025</v>
      </c>
      <c r="K206" t="str">
        <f>TEXT(Calls[[#This Row],[Date of Call]],"dddd")</f>
        <v>Monday</v>
      </c>
      <c r="L206" t="str">
        <f>TEXT(Calls[[#This Row],[Date of Call]],"mmm")</f>
        <v>Feb</v>
      </c>
    </row>
    <row r="207" spans="1:12" x14ac:dyDescent="0.3">
      <c r="A207" t="s">
        <v>211</v>
      </c>
      <c r="B207" t="s">
        <v>1012</v>
      </c>
      <c r="C207">
        <v>11</v>
      </c>
      <c r="D207" t="s">
        <v>1028</v>
      </c>
      <c r="E207" t="s">
        <v>1074</v>
      </c>
      <c r="F207">
        <v>117</v>
      </c>
      <c r="G207">
        <v>3.8</v>
      </c>
      <c r="H207">
        <f>ROUND(Calls[[#This Row],[Satisfactory Rating]],0)</f>
        <v>4</v>
      </c>
      <c r="I207" t="str" cm="1">
        <f t="array" ref="I207">_xlfn.IFS(Calls[[#This Row],[Duration (Min)]]&lt;=30,"Under 30 mins",Calls[[#This Row],[Duration (Min)]]&lt;=60,"Under 1h",Calls[[#This Row],[Duration (Min)]]&lt;=120,"Under 2",TRUE,"More than 2h")</f>
        <v>Under 30 mins</v>
      </c>
      <c r="J207">
        <f>IF(MONTH(Calls[[#This Row],[Date of Call]])&lt;=3,YEAR(Calls[[#This Row],[Date of Call]]),YEAR(Calls[[#This Row],[Date of Call]])+1)</f>
        <v>2025</v>
      </c>
      <c r="K207" t="str">
        <f>TEXT(Calls[[#This Row],[Date of Call]],"dddd")</f>
        <v>Tuesday</v>
      </c>
      <c r="L207" t="str">
        <f>TEXT(Calls[[#This Row],[Date of Call]],"mmm")</f>
        <v>Feb</v>
      </c>
    </row>
    <row r="208" spans="1:12" x14ac:dyDescent="0.3">
      <c r="A208" t="s">
        <v>212</v>
      </c>
      <c r="B208" t="s">
        <v>1023</v>
      </c>
      <c r="C208">
        <v>130</v>
      </c>
      <c r="D208" t="s">
        <v>1030</v>
      </c>
      <c r="E208" t="s">
        <v>1074</v>
      </c>
      <c r="F208">
        <v>28</v>
      </c>
      <c r="G208">
        <v>1.7</v>
      </c>
      <c r="H208">
        <f>ROUND(Calls[[#This Row],[Satisfactory Rating]],0)</f>
        <v>2</v>
      </c>
      <c r="I208" t="str" cm="1">
        <f t="array" ref="I208">_xlfn.IFS(Calls[[#This Row],[Duration (Min)]]&lt;=30,"Under 30 mins",Calls[[#This Row],[Duration (Min)]]&lt;=60,"Under 1h",Calls[[#This Row],[Duration (Min)]]&lt;=120,"Under 2",TRUE,"More than 2h")</f>
        <v>More than 2h</v>
      </c>
      <c r="J208">
        <f>IF(MONTH(Calls[[#This Row],[Date of Call]])&lt;=3,YEAR(Calls[[#This Row],[Date of Call]]),YEAR(Calls[[#This Row],[Date of Call]])+1)</f>
        <v>2025</v>
      </c>
      <c r="K208" t="str">
        <f>TEXT(Calls[[#This Row],[Date of Call]],"dddd")</f>
        <v>Tuesday</v>
      </c>
      <c r="L208" t="str">
        <f>TEXT(Calls[[#This Row],[Date of Call]],"mmm")</f>
        <v>Feb</v>
      </c>
    </row>
    <row r="209" spans="1:12" x14ac:dyDescent="0.3">
      <c r="A209" t="s">
        <v>213</v>
      </c>
      <c r="B209" t="s">
        <v>1022</v>
      </c>
      <c r="C209">
        <v>97</v>
      </c>
      <c r="D209" t="s">
        <v>1031</v>
      </c>
      <c r="E209" t="s">
        <v>1074</v>
      </c>
      <c r="F209">
        <v>149</v>
      </c>
      <c r="G209">
        <v>1</v>
      </c>
      <c r="H209">
        <f>ROUND(Calls[[#This Row],[Satisfactory Rating]],0)</f>
        <v>1</v>
      </c>
      <c r="I209" t="str" cm="1">
        <f t="array" ref="I209">_xlfn.IFS(Calls[[#This Row],[Duration (Min)]]&lt;=30,"Under 30 mins",Calls[[#This Row],[Duration (Min)]]&lt;=60,"Under 1h",Calls[[#This Row],[Duration (Min)]]&lt;=120,"Under 2",TRUE,"More than 2h")</f>
        <v>Under 2</v>
      </c>
      <c r="J209">
        <f>IF(MONTH(Calls[[#This Row],[Date of Call]])&lt;=3,YEAR(Calls[[#This Row],[Date of Call]]),YEAR(Calls[[#This Row],[Date of Call]])+1)</f>
        <v>2025</v>
      </c>
      <c r="K209" t="str">
        <f>TEXT(Calls[[#This Row],[Date of Call]],"dddd")</f>
        <v>Tuesday</v>
      </c>
      <c r="L209" t="str">
        <f>TEXT(Calls[[#This Row],[Date of Call]],"mmm")</f>
        <v>Feb</v>
      </c>
    </row>
    <row r="210" spans="1:12" x14ac:dyDescent="0.3">
      <c r="A210" t="s">
        <v>214</v>
      </c>
      <c r="B210" t="s">
        <v>1021</v>
      </c>
      <c r="C210">
        <v>134</v>
      </c>
      <c r="D210" t="s">
        <v>1028</v>
      </c>
      <c r="E210" t="s">
        <v>1074</v>
      </c>
      <c r="F210">
        <v>111</v>
      </c>
      <c r="G210">
        <v>2.4</v>
      </c>
      <c r="H210">
        <f>ROUND(Calls[[#This Row],[Satisfactory Rating]],0)</f>
        <v>2</v>
      </c>
      <c r="I210" t="str" cm="1">
        <f t="array" ref="I210">_xlfn.IFS(Calls[[#This Row],[Duration (Min)]]&lt;=30,"Under 30 mins",Calls[[#This Row],[Duration (Min)]]&lt;=60,"Under 1h",Calls[[#This Row],[Duration (Min)]]&lt;=120,"Under 2",TRUE,"More than 2h")</f>
        <v>More than 2h</v>
      </c>
      <c r="J210">
        <f>IF(MONTH(Calls[[#This Row],[Date of Call]])&lt;=3,YEAR(Calls[[#This Row],[Date of Call]]),YEAR(Calls[[#This Row],[Date of Call]])+1)</f>
        <v>2025</v>
      </c>
      <c r="K210" t="str">
        <f>TEXT(Calls[[#This Row],[Date of Call]],"dddd")</f>
        <v>Tuesday</v>
      </c>
      <c r="L210" t="str">
        <f>TEXT(Calls[[#This Row],[Date of Call]],"mmm")</f>
        <v>Feb</v>
      </c>
    </row>
    <row r="211" spans="1:12" x14ac:dyDescent="0.3">
      <c r="A211" t="s">
        <v>215</v>
      </c>
      <c r="B211" t="s">
        <v>1009</v>
      </c>
      <c r="C211">
        <v>100</v>
      </c>
      <c r="D211" t="s">
        <v>1028</v>
      </c>
      <c r="E211" t="s">
        <v>1074</v>
      </c>
      <c r="F211">
        <v>19</v>
      </c>
      <c r="G211">
        <v>3.2</v>
      </c>
      <c r="H211">
        <f>ROUND(Calls[[#This Row],[Satisfactory Rating]],0)</f>
        <v>3</v>
      </c>
      <c r="I211" t="str" cm="1">
        <f t="array" ref="I211">_xlfn.IFS(Calls[[#This Row],[Duration (Min)]]&lt;=30,"Under 30 mins",Calls[[#This Row],[Duration (Min)]]&lt;=60,"Under 1h",Calls[[#This Row],[Duration (Min)]]&lt;=120,"Under 2",TRUE,"More than 2h")</f>
        <v>Under 2</v>
      </c>
      <c r="J211">
        <f>IF(MONTH(Calls[[#This Row],[Date of Call]])&lt;=3,YEAR(Calls[[#This Row],[Date of Call]]),YEAR(Calls[[#This Row],[Date of Call]])+1)</f>
        <v>2025</v>
      </c>
      <c r="K211" t="str">
        <f>TEXT(Calls[[#This Row],[Date of Call]],"dddd")</f>
        <v>Tuesday</v>
      </c>
      <c r="L211" t="str">
        <f>TEXT(Calls[[#This Row],[Date of Call]],"mmm")</f>
        <v>Feb</v>
      </c>
    </row>
    <row r="212" spans="1:12" x14ac:dyDescent="0.3">
      <c r="A212" t="s">
        <v>216</v>
      </c>
      <c r="B212" t="s">
        <v>1012</v>
      </c>
      <c r="C212">
        <v>156</v>
      </c>
      <c r="D212" t="s">
        <v>1027</v>
      </c>
      <c r="E212" t="s">
        <v>1075</v>
      </c>
      <c r="F212">
        <v>90</v>
      </c>
      <c r="G212">
        <v>1.8</v>
      </c>
      <c r="H212">
        <f>ROUND(Calls[[#This Row],[Satisfactory Rating]],0)</f>
        <v>2</v>
      </c>
      <c r="I212" t="str" cm="1">
        <f t="array" ref="I212">_xlfn.IFS(Calls[[#This Row],[Duration (Min)]]&lt;=30,"Under 30 mins",Calls[[#This Row],[Duration (Min)]]&lt;=60,"Under 1h",Calls[[#This Row],[Duration (Min)]]&lt;=120,"Under 2",TRUE,"More than 2h")</f>
        <v>More than 2h</v>
      </c>
      <c r="J212">
        <f>IF(MONTH(Calls[[#This Row],[Date of Call]])&lt;=3,YEAR(Calls[[#This Row],[Date of Call]]),YEAR(Calls[[#This Row],[Date of Call]])+1)</f>
        <v>2025</v>
      </c>
      <c r="K212" t="str">
        <f>TEXT(Calls[[#This Row],[Date of Call]],"dddd")</f>
        <v>Wednesday</v>
      </c>
      <c r="L212" t="str">
        <f>TEXT(Calls[[#This Row],[Date of Call]],"mmm")</f>
        <v>Feb</v>
      </c>
    </row>
    <row r="213" spans="1:12" x14ac:dyDescent="0.3">
      <c r="A213" t="s">
        <v>217</v>
      </c>
      <c r="B213" t="s">
        <v>1017</v>
      </c>
      <c r="C213">
        <v>86</v>
      </c>
      <c r="D213" t="s">
        <v>1029</v>
      </c>
      <c r="E213" t="s">
        <v>1075</v>
      </c>
      <c r="F213">
        <v>69</v>
      </c>
      <c r="G213">
        <v>3.6</v>
      </c>
      <c r="H213">
        <f>ROUND(Calls[[#This Row],[Satisfactory Rating]],0)</f>
        <v>4</v>
      </c>
      <c r="I213" t="str" cm="1">
        <f t="array" ref="I213">_xlfn.IFS(Calls[[#This Row],[Duration (Min)]]&lt;=30,"Under 30 mins",Calls[[#This Row],[Duration (Min)]]&lt;=60,"Under 1h",Calls[[#This Row],[Duration (Min)]]&lt;=120,"Under 2",TRUE,"More than 2h")</f>
        <v>Under 2</v>
      </c>
      <c r="J213">
        <f>IF(MONTH(Calls[[#This Row],[Date of Call]])&lt;=3,YEAR(Calls[[#This Row],[Date of Call]]),YEAR(Calls[[#This Row],[Date of Call]])+1)</f>
        <v>2025</v>
      </c>
      <c r="K213" t="str">
        <f>TEXT(Calls[[#This Row],[Date of Call]],"dddd")</f>
        <v>Wednesday</v>
      </c>
      <c r="L213" t="str">
        <f>TEXT(Calls[[#This Row],[Date of Call]],"mmm")</f>
        <v>Feb</v>
      </c>
    </row>
    <row r="214" spans="1:12" x14ac:dyDescent="0.3">
      <c r="A214" t="s">
        <v>218</v>
      </c>
      <c r="B214" t="s">
        <v>1020</v>
      </c>
      <c r="C214">
        <v>86</v>
      </c>
      <c r="D214" t="s">
        <v>1031</v>
      </c>
      <c r="E214" t="s">
        <v>1075</v>
      </c>
      <c r="F214">
        <v>29</v>
      </c>
      <c r="G214">
        <v>3.3</v>
      </c>
      <c r="H214">
        <f>ROUND(Calls[[#This Row],[Satisfactory Rating]],0)</f>
        <v>3</v>
      </c>
      <c r="I214" t="str" cm="1">
        <f t="array" ref="I214">_xlfn.IFS(Calls[[#This Row],[Duration (Min)]]&lt;=30,"Under 30 mins",Calls[[#This Row],[Duration (Min)]]&lt;=60,"Under 1h",Calls[[#This Row],[Duration (Min)]]&lt;=120,"Under 2",TRUE,"More than 2h")</f>
        <v>Under 2</v>
      </c>
      <c r="J214">
        <f>IF(MONTH(Calls[[#This Row],[Date of Call]])&lt;=3,YEAR(Calls[[#This Row],[Date of Call]]),YEAR(Calls[[#This Row],[Date of Call]])+1)</f>
        <v>2025</v>
      </c>
      <c r="K214" t="str">
        <f>TEXT(Calls[[#This Row],[Date of Call]],"dddd")</f>
        <v>Wednesday</v>
      </c>
      <c r="L214" t="str">
        <f>TEXT(Calls[[#This Row],[Date of Call]],"mmm")</f>
        <v>Feb</v>
      </c>
    </row>
    <row r="215" spans="1:12" x14ac:dyDescent="0.3">
      <c r="A215" t="s">
        <v>219</v>
      </c>
      <c r="B215" t="s">
        <v>1022</v>
      </c>
      <c r="C215">
        <v>123</v>
      </c>
      <c r="D215" t="s">
        <v>1031</v>
      </c>
      <c r="E215" t="s">
        <v>1075</v>
      </c>
      <c r="F215">
        <v>86</v>
      </c>
      <c r="G215">
        <v>2</v>
      </c>
      <c r="H215">
        <f>ROUND(Calls[[#This Row],[Satisfactory Rating]],0)</f>
        <v>2</v>
      </c>
      <c r="I215" t="str" cm="1">
        <f t="array" ref="I215">_xlfn.IFS(Calls[[#This Row],[Duration (Min)]]&lt;=30,"Under 30 mins",Calls[[#This Row],[Duration (Min)]]&lt;=60,"Under 1h",Calls[[#This Row],[Duration (Min)]]&lt;=120,"Under 2",TRUE,"More than 2h")</f>
        <v>More than 2h</v>
      </c>
      <c r="J215">
        <f>IF(MONTH(Calls[[#This Row],[Date of Call]])&lt;=3,YEAR(Calls[[#This Row],[Date of Call]]),YEAR(Calls[[#This Row],[Date of Call]])+1)</f>
        <v>2025</v>
      </c>
      <c r="K215" t="str">
        <f>TEXT(Calls[[#This Row],[Date of Call]],"dddd")</f>
        <v>Wednesday</v>
      </c>
      <c r="L215" t="str">
        <f>TEXT(Calls[[#This Row],[Date of Call]],"mmm")</f>
        <v>Feb</v>
      </c>
    </row>
    <row r="216" spans="1:12" x14ac:dyDescent="0.3">
      <c r="A216" t="s">
        <v>220</v>
      </c>
      <c r="B216" t="s">
        <v>1016</v>
      </c>
      <c r="C216">
        <v>75</v>
      </c>
      <c r="D216" t="s">
        <v>1030</v>
      </c>
      <c r="E216" t="s">
        <v>1075</v>
      </c>
      <c r="F216">
        <v>141</v>
      </c>
      <c r="G216">
        <v>4.8</v>
      </c>
      <c r="H216">
        <f>ROUND(Calls[[#This Row],[Satisfactory Rating]],0)</f>
        <v>5</v>
      </c>
      <c r="I216" t="str" cm="1">
        <f t="array" ref="I216">_xlfn.IFS(Calls[[#This Row],[Duration (Min)]]&lt;=30,"Under 30 mins",Calls[[#This Row],[Duration (Min)]]&lt;=60,"Under 1h",Calls[[#This Row],[Duration (Min)]]&lt;=120,"Under 2",TRUE,"More than 2h")</f>
        <v>Under 2</v>
      </c>
      <c r="J216">
        <f>IF(MONTH(Calls[[#This Row],[Date of Call]])&lt;=3,YEAR(Calls[[#This Row],[Date of Call]]),YEAR(Calls[[#This Row],[Date of Call]])+1)</f>
        <v>2025</v>
      </c>
      <c r="K216" t="str">
        <f>TEXT(Calls[[#This Row],[Date of Call]],"dddd")</f>
        <v>Wednesday</v>
      </c>
      <c r="L216" t="str">
        <f>TEXT(Calls[[#This Row],[Date of Call]],"mmm")</f>
        <v>Feb</v>
      </c>
    </row>
    <row r="217" spans="1:12" x14ac:dyDescent="0.3">
      <c r="A217" t="s">
        <v>221</v>
      </c>
      <c r="B217" t="s">
        <v>1016</v>
      </c>
      <c r="C217">
        <v>133</v>
      </c>
      <c r="D217" t="s">
        <v>1028</v>
      </c>
      <c r="E217" t="s">
        <v>1076</v>
      </c>
      <c r="F217">
        <v>85</v>
      </c>
      <c r="G217">
        <v>3.6</v>
      </c>
      <c r="H217">
        <f>ROUND(Calls[[#This Row],[Satisfactory Rating]],0)</f>
        <v>4</v>
      </c>
      <c r="I217" t="str" cm="1">
        <f t="array" ref="I217">_xlfn.IFS(Calls[[#This Row],[Duration (Min)]]&lt;=30,"Under 30 mins",Calls[[#This Row],[Duration (Min)]]&lt;=60,"Under 1h",Calls[[#This Row],[Duration (Min)]]&lt;=120,"Under 2",TRUE,"More than 2h")</f>
        <v>More than 2h</v>
      </c>
      <c r="J217">
        <f>IF(MONTH(Calls[[#This Row],[Date of Call]])&lt;=3,YEAR(Calls[[#This Row],[Date of Call]]),YEAR(Calls[[#This Row],[Date of Call]])+1)</f>
        <v>2025</v>
      </c>
      <c r="K217" t="str">
        <f>TEXT(Calls[[#This Row],[Date of Call]],"dddd")</f>
        <v>Thursday</v>
      </c>
      <c r="L217" t="str">
        <f>TEXT(Calls[[#This Row],[Date of Call]],"mmm")</f>
        <v>Feb</v>
      </c>
    </row>
    <row r="218" spans="1:12" x14ac:dyDescent="0.3">
      <c r="A218" t="s">
        <v>222</v>
      </c>
      <c r="B218" t="s">
        <v>1009</v>
      </c>
      <c r="C218">
        <v>144</v>
      </c>
      <c r="D218" t="s">
        <v>1029</v>
      </c>
      <c r="E218" t="s">
        <v>1076</v>
      </c>
      <c r="F218">
        <v>108</v>
      </c>
      <c r="G218">
        <v>3.7</v>
      </c>
      <c r="H218">
        <f>ROUND(Calls[[#This Row],[Satisfactory Rating]],0)</f>
        <v>4</v>
      </c>
      <c r="I218" t="str" cm="1">
        <f t="array" ref="I218">_xlfn.IFS(Calls[[#This Row],[Duration (Min)]]&lt;=30,"Under 30 mins",Calls[[#This Row],[Duration (Min)]]&lt;=60,"Under 1h",Calls[[#This Row],[Duration (Min)]]&lt;=120,"Under 2",TRUE,"More than 2h")</f>
        <v>More than 2h</v>
      </c>
      <c r="J218">
        <f>IF(MONTH(Calls[[#This Row],[Date of Call]])&lt;=3,YEAR(Calls[[#This Row],[Date of Call]]),YEAR(Calls[[#This Row],[Date of Call]])+1)</f>
        <v>2025</v>
      </c>
      <c r="K218" t="str">
        <f>TEXT(Calls[[#This Row],[Date of Call]],"dddd")</f>
        <v>Thursday</v>
      </c>
      <c r="L218" t="str">
        <f>TEXT(Calls[[#This Row],[Date of Call]],"mmm")</f>
        <v>Feb</v>
      </c>
    </row>
    <row r="219" spans="1:12" x14ac:dyDescent="0.3">
      <c r="A219" t="s">
        <v>223</v>
      </c>
      <c r="B219" t="s">
        <v>1023</v>
      </c>
      <c r="C219">
        <v>58</v>
      </c>
      <c r="D219" t="s">
        <v>1031</v>
      </c>
      <c r="E219" t="s">
        <v>1076</v>
      </c>
      <c r="F219">
        <v>105</v>
      </c>
      <c r="G219">
        <v>1.1000000000000001</v>
      </c>
      <c r="H219">
        <f>ROUND(Calls[[#This Row],[Satisfactory Rating]],0)</f>
        <v>1</v>
      </c>
      <c r="I219" t="str" cm="1">
        <f t="array" ref="I219">_xlfn.IFS(Calls[[#This Row],[Duration (Min)]]&lt;=30,"Under 30 mins",Calls[[#This Row],[Duration (Min)]]&lt;=60,"Under 1h",Calls[[#This Row],[Duration (Min)]]&lt;=120,"Under 2",TRUE,"More than 2h")</f>
        <v>Under 1h</v>
      </c>
      <c r="J219">
        <f>IF(MONTH(Calls[[#This Row],[Date of Call]])&lt;=3,YEAR(Calls[[#This Row],[Date of Call]]),YEAR(Calls[[#This Row],[Date of Call]])+1)</f>
        <v>2025</v>
      </c>
      <c r="K219" t="str">
        <f>TEXT(Calls[[#This Row],[Date of Call]],"dddd")</f>
        <v>Thursday</v>
      </c>
      <c r="L219" t="str">
        <f>TEXT(Calls[[#This Row],[Date of Call]],"mmm")</f>
        <v>Feb</v>
      </c>
    </row>
    <row r="220" spans="1:12" x14ac:dyDescent="0.3">
      <c r="A220" t="s">
        <v>224</v>
      </c>
      <c r="B220" t="s">
        <v>1006</v>
      </c>
      <c r="C220">
        <v>93</v>
      </c>
      <c r="D220" t="s">
        <v>1030</v>
      </c>
      <c r="E220" t="s">
        <v>1076</v>
      </c>
      <c r="F220">
        <v>98</v>
      </c>
      <c r="G220">
        <v>4.4000000000000004</v>
      </c>
      <c r="H220">
        <f>ROUND(Calls[[#This Row],[Satisfactory Rating]],0)</f>
        <v>4</v>
      </c>
      <c r="I220" t="str" cm="1">
        <f t="array" ref="I220">_xlfn.IFS(Calls[[#This Row],[Duration (Min)]]&lt;=30,"Under 30 mins",Calls[[#This Row],[Duration (Min)]]&lt;=60,"Under 1h",Calls[[#This Row],[Duration (Min)]]&lt;=120,"Under 2",TRUE,"More than 2h")</f>
        <v>Under 2</v>
      </c>
      <c r="J220">
        <f>IF(MONTH(Calls[[#This Row],[Date of Call]])&lt;=3,YEAR(Calls[[#This Row],[Date of Call]]),YEAR(Calls[[#This Row],[Date of Call]])+1)</f>
        <v>2025</v>
      </c>
      <c r="K220" t="str">
        <f>TEXT(Calls[[#This Row],[Date of Call]],"dddd")</f>
        <v>Thursday</v>
      </c>
      <c r="L220" t="str">
        <f>TEXT(Calls[[#This Row],[Date of Call]],"mmm")</f>
        <v>Feb</v>
      </c>
    </row>
    <row r="221" spans="1:12" x14ac:dyDescent="0.3">
      <c r="A221" t="s">
        <v>225</v>
      </c>
      <c r="B221" t="s">
        <v>1012</v>
      </c>
      <c r="C221">
        <v>113</v>
      </c>
      <c r="D221" t="s">
        <v>1032</v>
      </c>
      <c r="E221" t="s">
        <v>1076</v>
      </c>
      <c r="F221">
        <v>133</v>
      </c>
      <c r="G221">
        <v>2.9</v>
      </c>
      <c r="H221">
        <f>ROUND(Calls[[#This Row],[Satisfactory Rating]],0)</f>
        <v>3</v>
      </c>
      <c r="I221" t="str" cm="1">
        <f t="array" ref="I221">_xlfn.IFS(Calls[[#This Row],[Duration (Min)]]&lt;=30,"Under 30 mins",Calls[[#This Row],[Duration (Min)]]&lt;=60,"Under 1h",Calls[[#This Row],[Duration (Min)]]&lt;=120,"Under 2",TRUE,"More than 2h")</f>
        <v>Under 2</v>
      </c>
      <c r="J221">
        <f>IF(MONTH(Calls[[#This Row],[Date of Call]])&lt;=3,YEAR(Calls[[#This Row],[Date of Call]]),YEAR(Calls[[#This Row],[Date of Call]])+1)</f>
        <v>2025</v>
      </c>
      <c r="K221" t="str">
        <f>TEXT(Calls[[#This Row],[Date of Call]],"dddd")</f>
        <v>Thursday</v>
      </c>
      <c r="L221" t="str">
        <f>TEXT(Calls[[#This Row],[Date of Call]],"mmm")</f>
        <v>Feb</v>
      </c>
    </row>
    <row r="222" spans="1:12" x14ac:dyDescent="0.3">
      <c r="A222" t="s">
        <v>226</v>
      </c>
      <c r="B222" t="s">
        <v>1021</v>
      </c>
      <c r="C222">
        <v>38</v>
      </c>
      <c r="D222" t="s">
        <v>1026</v>
      </c>
      <c r="E222" t="s">
        <v>1077</v>
      </c>
      <c r="F222">
        <v>110</v>
      </c>
      <c r="G222">
        <v>3.7</v>
      </c>
      <c r="H222">
        <f>ROUND(Calls[[#This Row],[Satisfactory Rating]],0)</f>
        <v>4</v>
      </c>
      <c r="I222" t="str" cm="1">
        <f t="array" ref="I222">_xlfn.IFS(Calls[[#This Row],[Duration (Min)]]&lt;=30,"Under 30 mins",Calls[[#This Row],[Duration (Min)]]&lt;=60,"Under 1h",Calls[[#This Row],[Duration (Min)]]&lt;=120,"Under 2",TRUE,"More than 2h")</f>
        <v>Under 1h</v>
      </c>
      <c r="J222">
        <f>IF(MONTH(Calls[[#This Row],[Date of Call]])&lt;=3,YEAR(Calls[[#This Row],[Date of Call]]),YEAR(Calls[[#This Row],[Date of Call]])+1)</f>
        <v>2025</v>
      </c>
      <c r="K222" t="str">
        <f>TEXT(Calls[[#This Row],[Date of Call]],"dddd")</f>
        <v>Friday</v>
      </c>
      <c r="L222" t="str">
        <f>TEXT(Calls[[#This Row],[Date of Call]],"mmm")</f>
        <v>Feb</v>
      </c>
    </row>
    <row r="223" spans="1:12" x14ac:dyDescent="0.3">
      <c r="A223" t="s">
        <v>227</v>
      </c>
      <c r="B223" t="s">
        <v>1007</v>
      </c>
      <c r="C223">
        <v>87</v>
      </c>
      <c r="D223" t="s">
        <v>1027</v>
      </c>
      <c r="E223" t="s">
        <v>1077</v>
      </c>
      <c r="F223">
        <v>143</v>
      </c>
      <c r="G223">
        <v>2.2000000000000002</v>
      </c>
      <c r="H223">
        <f>ROUND(Calls[[#This Row],[Satisfactory Rating]],0)</f>
        <v>2</v>
      </c>
      <c r="I223" t="str" cm="1">
        <f t="array" ref="I223">_xlfn.IFS(Calls[[#This Row],[Duration (Min)]]&lt;=30,"Under 30 mins",Calls[[#This Row],[Duration (Min)]]&lt;=60,"Under 1h",Calls[[#This Row],[Duration (Min)]]&lt;=120,"Under 2",TRUE,"More than 2h")</f>
        <v>Under 2</v>
      </c>
      <c r="J223">
        <f>IF(MONTH(Calls[[#This Row],[Date of Call]])&lt;=3,YEAR(Calls[[#This Row],[Date of Call]]),YEAR(Calls[[#This Row],[Date of Call]])+1)</f>
        <v>2025</v>
      </c>
      <c r="K223" t="str">
        <f>TEXT(Calls[[#This Row],[Date of Call]],"dddd")</f>
        <v>Friday</v>
      </c>
      <c r="L223" t="str">
        <f>TEXT(Calls[[#This Row],[Date of Call]],"mmm")</f>
        <v>Feb</v>
      </c>
    </row>
    <row r="224" spans="1:12" x14ac:dyDescent="0.3">
      <c r="A224" t="s">
        <v>228</v>
      </c>
      <c r="B224" t="s">
        <v>1014</v>
      </c>
      <c r="C224">
        <v>46</v>
      </c>
      <c r="D224" t="s">
        <v>1029</v>
      </c>
      <c r="E224" t="s">
        <v>1077</v>
      </c>
      <c r="F224">
        <v>52</v>
      </c>
      <c r="G224">
        <v>2.6</v>
      </c>
      <c r="H224">
        <f>ROUND(Calls[[#This Row],[Satisfactory Rating]],0)</f>
        <v>3</v>
      </c>
      <c r="I224" t="str" cm="1">
        <f t="array" ref="I224">_xlfn.IFS(Calls[[#This Row],[Duration (Min)]]&lt;=30,"Under 30 mins",Calls[[#This Row],[Duration (Min)]]&lt;=60,"Under 1h",Calls[[#This Row],[Duration (Min)]]&lt;=120,"Under 2",TRUE,"More than 2h")</f>
        <v>Under 1h</v>
      </c>
      <c r="J224">
        <f>IF(MONTH(Calls[[#This Row],[Date of Call]])&lt;=3,YEAR(Calls[[#This Row],[Date of Call]]),YEAR(Calls[[#This Row],[Date of Call]])+1)</f>
        <v>2025</v>
      </c>
      <c r="K224" t="str">
        <f>TEXT(Calls[[#This Row],[Date of Call]],"dddd")</f>
        <v>Friday</v>
      </c>
      <c r="L224" t="str">
        <f>TEXT(Calls[[#This Row],[Date of Call]],"mmm")</f>
        <v>Feb</v>
      </c>
    </row>
    <row r="225" spans="1:12" x14ac:dyDescent="0.3">
      <c r="A225" t="s">
        <v>229</v>
      </c>
      <c r="B225" t="s">
        <v>1009</v>
      </c>
      <c r="C225">
        <v>85</v>
      </c>
      <c r="D225" t="s">
        <v>1032</v>
      </c>
      <c r="E225" t="s">
        <v>1077</v>
      </c>
      <c r="F225">
        <v>84</v>
      </c>
      <c r="G225">
        <v>2.7</v>
      </c>
      <c r="H225">
        <f>ROUND(Calls[[#This Row],[Satisfactory Rating]],0)</f>
        <v>3</v>
      </c>
      <c r="I225" t="str" cm="1">
        <f t="array" ref="I225">_xlfn.IFS(Calls[[#This Row],[Duration (Min)]]&lt;=30,"Under 30 mins",Calls[[#This Row],[Duration (Min)]]&lt;=60,"Under 1h",Calls[[#This Row],[Duration (Min)]]&lt;=120,"Under 2",TRUE,"More than 2h")</f>
        <v>Under 2</v>
      </c>
      <c r="J225">
        <f>IF(MONTH(Calls[[#This Row],[Date of Call]])&lt;=3,YEAR(Calls[[#This Row],[Date of Call]]),YEAR(Calls[[#This Row],[Date of Call]])+1)</f>
        <v>2025</v>
      </c>
      <c r="K225" t="str">
        <f>TEXT(Calls[[#This Row],[Date of Call]],"dddd")</f>
        <v>Friday</v>
      </c>
      <c r="L225" t="str">
        <f>TEXT(Calls[[#This Row],[Date of Call]],"mmm")</f>
        <v>Feb</v>
      </c>
    </row>
    <row r="226" spans="1:12" x14ac:dyDescent="0.3">
      <c r="A226" t="s">
        <v>230</v>
      </c>
      <c r="B226" t="s">
        <v>1020</v>
      </c>
      <c r="C226">
        <v>47</v>
      </c>
      <c r="D226" t="s">
        <v>1031</v>
      </c>
      <c r="E226" t="s">
        <v>1077</v>
      </c>
      <c r="F226">
        <v>42</v>
      </c>
      <c r="G226">
        <v>1.5</v>
      </c>
      <c r="H226">
        <f>ROUND(Calls[[#This Row],[Satisfactory Rating]],0)</f>
        <v>2</v>
      </c>
      <c r="I226" t="str" cm="1">
        <f t="array" ref="I226">_xlfn.IFS(Calls[[#This Row],[Duration (Min)]]&lt;=30,"Under 30 mins",Calls[[#This Row],[Duration (Min)]]&lt;=60,"Under 1h",Calls[[#This Row],[Duration (Min)]]&lt;=120,"Under 2",TRUE,"More than 2h")</f>
        <v>Under 1h</v>
      </c>
      <c r="J226">
        <f>IF(MONTH(Calls[[#This Row],[Date of Call]])&lt;=3,YEAR(Calls[[#This Row],[Date of Call]]),YEAR(Calls[[#This Row],[Date of Call]])+1)</f>
        <v>2025</v>
      </c>
      <c r="K226" t="str">
        <f>TEXT(Calls[[#This Row],[Date of Call]],"dddd")</f>
        <v>Friday</v>
      </c>
      <c r="L226" t="str">
        <f>TEXT(Calls[[#This Row],[Date of Call]],"mmm")</f>
        <v>Feb</v>
      </c>
    </row>
    <row r="227" spans="1:12" x14ac:dyDescent="0.3">
      <c r="A227" t="s">
        <v>231</v>
      </c>
      <c r="B227" t="s">
        <v>1023</v>
      </c>
      <c r="C227">
        <v>107</v>
      </c>
      <c r="D227" t="s">
        <v>1028</v>
      </c>
      <c r="E227" t="s">
        <v>1078</v>
      </c>
      <c r="F227">
        <v>105</v>
      </c>
      <c r="G227">
        <v>3.4</v>
      </c>
      <c r="H227">
        <f>ROUND(Calls[[#This Row],[Satisfactory Rating]],0)</f>
        <v>3</v>
      </c>
      <c r="I227" t="str" cm="1">
        <f t="array" ref="I227">_xlfn.IFS(Calls[[#This Row],[Duration (Min)]]&lt;=30,"Under 30 mins",Calls[[#This Row],[Duration (Min)]]&lt;=60,"Under 1h",Calls[[#This Row],[Duration (Min)]]&lt;=120,"Under 2",TRUE,"More than 2h")</f>
        <v>Under 2</v>
      </c>
      <c r="J227">
        <f>IF(MONTH(Calls[[#This Row],[Date of Call]])&lt;=3,YEAR(Calls[[#This Row],[Date of Call]]),YEAR(Calls[[#This Row],[Date of Call]])+1)</f>
        <v>2025</v>
      </c>
      <c r="K227" t="str">
        <f>TEXT(Calls[[#This Row],[Date of Call]],"dddd")</f>
        <v>Saturday</v>
      </c>
      <c r="L227" t="str">
        <f>TEXT(Calls[[#This Row],[Date of Call]],"mmm")</f>
        <v>Feb</v>
      </c>
    </row>
    <row r="228" spans="1:12" x14ac:dyDescent="0.3">
      <c r="A228" t="s">
        <v>232</v>
      </c>
      <c r="B228" t="s">
        <v>1025</v>
      </c>
      <c r="C228">
        <v>62</v>
      </c>
      <c r="D228" t="s">
        <v>1031</v>
      </c>
      <c r="E228" t="s">
        <v>1078</v>
      </c>
      <c r="F228">
        <v>109</v>
      </c>
      <c r="G228">
        <v>3</v>
      </c>
      <c r="H228">
        <f>ROUND(Calls[[#This Row],[Satisfactory Rating]],0)</f>
        <v>3</v>
      </c>
      <c r="I228" t="str" cm="1">
        <f t="array" ref="I228">_xlfn.IFS(Calls[[#This Row],[Duration (Min)]]&lt;=30,"Under 30 mins",Calls[[#This Row],[Duration (Min)]]&lt;=60,"Under 1h",Calls[[#This Row],[Duration (Min)]]&lt;=120,"Under 2",TRUE,"More than 2h")</f>
        <v>Under 2</v>
      </c>
      <c r="J228">
        <f>IF(MONTH(Calls[[#This Row],[Date of Call]])&lt;=3,YEAR(Calls[[#This Row],[Date of Call]]),YEAR(Calls[[#This Row],[Date of Call]])+1)</f>
        <v>2025</v>
      </c>
      <c r="K228" t="str">
        <f>TEXT(Calls[[#This Row],[Date of Call]],"dddd")</f>
        <v>Saturday</v>
      </c>
      <c r="L228" t="str">
        <f>TEXT(Calls[[#This Row],[Date of Call]],"mmm")</f>
        <v>Feb</v>
      </c>
    </row>
    <row r="229" spans="1:12" x14ac:dyDescent="0.3">
      <c r="A229" t="s">
        <v>233</v>
      </c>
      <c r="B229" t="s">
        <v>1023</v>
      </c>
      <c r="C229">
        <v>119</v>
      </c>
      <c r="D229" t="s">
        <v>1031</v>
      </c>
      <c r="E229" t="s">
        <v>1078</v>
      </c>
      <c r="F229">
        <v>73</v>
      </c>
      <c r="G229">
        <v>4.3</v>
      </c>
      <c r="H229">
        <f>ROUND(Calls[[#This Row],[Satisfactory Rating]],0)</f>
        <v>4</v>
      </c>
      <c r="I229" t="str" cm="1">
        <f t="array" ref="I229">_xlfn.IFS(Calls[[#This Row],[Duration (Min)]]&lt;=30,"Under 30 mins",Calls[[#This Row],[Duration (Min)]]&lt;=60,"Under 1h",Calls[[#This Row],[Duration (Min)]]&lt;=120,"Under 2",TRUE,"More than 2h")</f>
        <v>Under 2</v>
      </c>
      <c r="J229">
        <f>IF(MONTH(Calls[[#This Row],[Date of Call]])&lt;=3,YEAR(Calls[[#This Row],[Date of Call]]),YEAR(Calls[[#This Row],[Date of Call]])+1)</f>
        <v>2025</v>
      </c>
      <c r="K229" t="str">
        <f>TEXT(Calls[[#This Row],[Date of Call]],"dddd")</f>
        <v>Saturday</v>
      </c>
      <c r="L229" t="str">
        <f>TEXT(Calls[[#This Row],[Date of Call]],"mmm")</f>
        <v>Feb</v>
      </c>
    </row>
    <row r="230" spans="1:12" x14ac:dyDescent="0.3">
      <c r="A230" t="s">
        <v>234</v>
      </c>
      <c r="B230" t="s">
        <v>1006</v>
      </c>
      <c r="C230">
        <v>42</v>
      </c>
      <c r="D230" t="s">
        <v>1031</v>
      </c>
      <c r="E230" t="s">
        <v>1078</v>
      </c>
      <c r="F230">
        <v>80</v>
      </c>
      <c r="G230">
        <v>2.2000000000000002</v>
      </c>
      <c r="H230">
        <f>ROUND(Calls[[#This Row],[Satisfactory Rating]],0)</f>
        <v>2</v>
      </c>
      <c r="I230" t="str" cm="1">
        <f t="array" ref="I230">_xlfn.IFS(Calls[[#This Row],[Duration (Min)]]&lt;=30,"Under 30 mins",Calls[[#This Row],[Duration (Min)]]&lt;=60,"Under 1h",Calls[[#This Row],[Duration (Min)]]&lt;=120,"Under 2",TRUE,"More than 2h")</f>
        <v>Under 1h</v>
      </c>
      <c r="J230">
        <f>IF(MONTH(Calls[[#This Row],[Date of Call]])&lt;=3,YEAR(Calls[[#This Row],[Date of Call]]),YEAR(Calls[[#This Row],[Date of Call]])+1)</f>
        <v>2025</v>
      </c>
      <c r="K230" t="str">
        <f>TEXT(Calls[[#This Row],[Date of Call]],"dddd")</f>
        <v>Saturday</v>
      </c>
      <c r="L230" t="str">
        <f>TEXT(Calls[[#This Row],[Date of Call]],"mmm")</f>
        <v>Feb</v>
      </c>
    </row>
    <row r="231" spans="1:12" x14ac:dyDescent="0.3">
      <c r="A231" t="s">
        <v>235</v>
      </c>
      <c r="B231" t="s">
        <v>1010</v>
      </c>
      <c r="C231">
        <v>69</v>
      </c>
      <c r="D231" t="s">
        <v>1031</v>
      </c>
      <c r="E231" t="s">
        <v>1078</v>
      </c>
      <c r="F231">
        <v>30</v>
      </c>
      <c r="G231">
        <v>3.5</v>
      </c>
      <c r="H231">
        <f>ROUND(Calls[[#This Row],[Satisfactory Rating]],0)</f>
        <v>4</v>
      </c>
      <c r="I231" t="str" cm="1">
        <f t="array" ref="I231">_xlfn.IFS(Calls[[#This Row],[Duration (Min)]]&lt;=30,"Under 30 mins",Calls[[#This Row],[Duration (Min)]]&lt;=60,"Under 1h",Calls[[#This Row],[Duration (Min)]]&lt;=120,"Under 2",TRUE,"More than 2h")</f>
        <v>Under 2</v>
      </c>
      <c r="J231">
        <f>IF(MONTH(Calls[[#This Row],[Date of Call]])&lt;=3,YEAR(Calls[[#This Row],[Date of Call]]),YEAR(Calls[[#This Row],[Date of Call]])+1)</f>
        <v>2025</v>
      </c>
      <c r="K231" t="str">
        <f>TEXT(Calls[[#This Row],[Date of Call]],"dddd")</f>
        <v>Saturday</v>
      </c>
      <c r="L231" t="str">
        <f>TEXT(Calls[[#This Row],[Date of Call]],"mmm")</f>
        <v>Feb</v>
      </c>
    </row>
    <row r="232" spans="1:12" x14ac:dyDescent="0.3">
      <c r="A232" t="s">
        <v>236</v>
      </c>
      <c r="B232" t="s">
        <v>1024</v>
      </c>
      <c r="C232">
        <v>28</v>
      </c>
      <c r="D232" t="s">
        <v>1032</v>
      </c>
      <c r="E232" t="s">
        <v>1079</v>
      </c>
      <c r="F232">
        <v>92</v>
      </c>
      <c r="G232">
        <v>2.1</v>
      </c>
      <c r="H232">
        <f>ROUND(Calls[[#This Row],[Satisfactory Rating]],0)</f>
        <v>2</v>
      </c>
      <c r="I232" t="str" cm="1">
        <f t="array" ref="I232">_xlfn.IFS(Calls[[#This Row],[Duration (Min)]]&lt;=30,"Under 30 mins",Calls[[#This Row],[Duration (Min)]]&lt;=60,"Under 1h",Calls[[#This Row],[Duration (Min)]]&lt;=120,"Under 2",TRUE,"More than 2h")</f>
        <v>Under 30 mins</v>
      </c>
      <c r="J232">
        <f>IF(MONTH(Calls[[#This Row],[Date of Call]])&lt;=3,YEAR(Calls[[#This Row],[Date of Call]]),YEAR(Calls[[#This Row],[Date of Call]])+1)</f>
        <v>2025</v>
      </c>
      <c r="K232" t="str">
        <f>TEXT(Calls[[#This Row],[Date of Call]],"dddd")</f>
        <v>Sunday</v>
      </c>
      <c r="L232" t="str">
        <f>TEXT(Calls[[#This Row],[Date of Call]],"mmm")</f>
        <v>Feb</v>
      </c>
    </row>
    <row r="233" spans="1:12" x14ac:dyDescent="0.3">
      <c r="A233" t="s">
        <v>237</v>
      </c>
      <c r="B233" t="s">
        <v>1015</v>
      </c>
      <c r="C233">
        <v>73</v>
      </c>
      <c r="D233" t="s">
        <v>1030</v>
      </c>
      <c r="E233" t="s">
        <v>1079</v>
      </c>
      <c r="F233">
        <v>95</v>
      </c>
      <c r="G233">
        <v>2.4</v>
      </c>
      <c r="H233">
        <f>ROUND(Calls[[#This Row],[Satisfactory Rating]],0)</f>
        <v>2</v>
      </c>
      <c r="I233" t="str" cm="1">
        <f t="array" ref="I233">_xlfn.IFS(Calls[[#This Row],[Duration (Min)]]&lt;=30,"Under 30 mins",Calls[[#This Row],[Duration (Min)]]&lt;=60,"Under 1h",Calls[[#This Row],[Duration (Min)]]&lt;=120,"Under 2",TRUE,"More than 2h")</f>
        <v>Under 2</v>
      </c>
      <c r="J233">
        <f>IF(MONTH(Calls[[#This Row],[Date of Call]])&lt;=3,YEAR(Calls[[#This Row],[Date of Call]]),YEAR(Calls[[#This Row],[Date of Call]])+1)</f>
        <v>2025</v>
      </c>
      <c r="K233" t="str">
        <f>TEXT(Calls[[#This Row],[Date of Call]],"dddd")</f>
        <v>Sunday</v>
      </c>
      <c r="L233" t="str">
        <f>TEXT(Calls[[#This Row],[Date of Call]],"mmm")</f>
        <v>Feb</v>
      </c>
    </row>
    <row r="234" spans="1:12" x14ac:dyDescent="0.3">
      <c r="A234" t="s">
        <v>238</v>
      </c>
      <c r="B234" t="s">
        <v>1010</v>
      </c>
      <c r="C234">
        <v>128</v>
      </c>
      <c r="D234" t="s">
        <v>1029</v>
      </c>
      <c r="E234" t="s">
        <v>1079</v>
      </c>
      <c r="F234">
        <v>41</v>
      </c>
      <c r="G234">
        <v>1.1000000000000001</v>
      </c>
      <c r="H234">
        <f>ROUND(Calls[[#This Row],[Satisfactory Rating]],0)</f>
        <v>1</v>
      </c>
      <c r="I234" t="str" cm="1">
        <f t="array" ref="I234">_xlfn.IFS(Calls[[#This Row],[Duration (Min)]]&lt;=30,"Under 30 mins",Calls[[#This Row],[Duration (Min)]]&lt;=60,"Under 1h",Calls[[#This Row],[Duration (Min)]]&lt;=120,"Under 2",TRUE,"More than 2h")</f>
        <v>More than 2h</v>
      </c>
      <c r="J234">
        <f>IF(MONTH(Calls[[#This Row],[Date of Call]])&lt;=3,YEAR(Calls[[#This Row],[Date of Call]]),YEAR(Calls[[#This Row],[Date of Call]])+1)</f>
        <v>2025</v>
      </c>
      <c r="K234" t="str">
        <f>TEXT(Calls[[#This Row],[Date of Call]],"dddd")</f>
        <v>Sunday</v>
      </c>
      <c r="L234" t="str">
        <f>TEXT(Calls[[#This Row],[Date of Call]],"mmm")</f>
        <v>Feb</v>
      </c>
    </row>
    <row r="235" spans="1:12" x14ac:dyDescent="0.3">
      <c r="A235" t="s">
        <v>239</v>
      </c>
      <c r="B235" t="s">
        <v>1017</v>
      </c>
      <c r="C235">
        <v>97</v>
      </c>
      <c r="D235" t="s">
        <v>1027</v>
      </c>
      <c r="E235" t="s">
        <v>1079</v>
      </c>
      <c r="F235">
        <v>83</v>
      </c>
      <c r="G235">
        <v>1.5</v>
      </c>
      <c r="H235">
        <f>ROUND(Calls[[#This Row],[Satisfactory Rating]],0)</f>
        <v>2</v>
      </c>
      <c r="I235" t="str" cm="1">
        <f t="array" ref="I235">_xlfn.IFS(Calls[[#This Row],[Duration (Min)]]&lt;=30,"Under 30 mins",Calls[[#This Row],[Duration (Min)]]&lt;=60,"Under 1h",Calls[[#This Row],[Duration (Min)]]&lt;=120,"Under 2",TRUE,"More than 2h")</f>
        <v>Under 2</v>
      </c>
      <c r="J235">
        <f>IF(MONTH(Calls[[#This Row],[Date of Call]])&lt;=3,YEAR(Calls[[#This Row],[Date of Call]]),YEAR(Calls[[#This Row],[Date of Call]])+1)</f>
        <v>2025</v>
      </c>
      <c r="K235" t="str">
        <f>TEXT(Calls[[#This Row],[Date of Call]],"dddd")</f>
        <v>Sunday</v>
      </c>
      <c r="L235" t="str">
        <f>TEXT(Calls[[#This Row],[Date of Call]],"mmm")</f>
        <v>Feb</v>
      </c>
    </row>
    <row r="236" spans="1:12" x14ac:dyDescent="0.3">
      <c r="A236" t="s">
        <v>240</v>
      </c>
      <c r="B236" t="s">
        <v>1006</v>
      </c>
      <c r="C236">
        <v>113</v>
      </c>
      <c r="D236" t="s">
        <v>1032</v>
      </c>
      <c r="E236" t="s">
        <v>1079</v>
      </c>
      <c r="F236">
        <v>142</v>
      </c>
      <c r="G236">
        <v>1.5</v>
      </c>
      <c r="H236">
        <f>ROUND(Calls[[#This Row],[Satisfactory Rating]],0)</f>
        <v>2</v>
      </c>
      <c r="I236" t="str" cm="1">
        <f t="array" ref="I236">_xlfn.IFS(Calls[[#This Row],[Duration (Min)]]&lt;=30,"Under 30 mins",Calls[[#This Row],[Duration (Min)]]&lt;=60,"Under 1h",Calls[[#This Row],[Duration (Min)]]&lt;=120,"Under 2",TRUE,"More than 2h")</f>
        <v>Under 2</v>
      </c>
      <c r="J236">
        <f>IF(MONTH(Calls[[#This Row],[Date of Call]])&lt;=3,YEAR(Calls[[#This Row],[Date of Call]]),YEAR(Calls[[#This Row],[Date of Call]])+1)</f>
        <v>2025</v>
      </c>
      <c r="K236" t="str">
        <f>TEXT(Calls[[#This Row],[Date of Call]],"dddd")</f>
        <v>Sunday</v>
      </c>
      <c r="L236" t="str">
        <f>TEXT(Calls[[#This Row],[Date of Call]],"mmm")</f>
        <v>Feb</v>
      </c>
    </row>
    <row r="237" spans="1:12" x14ac:dyDescent="0.3">
      <c r="A237" t="s">
        <v>241</v>
      </c>
      <c r="B237" t="s">
        <v>1018</v>
      </c>
      <c r="C237">
        <v>32</v>
      </c>
      <c r="D237" t="s">
        <v>1026</v>
      </c>
      <c r="E237" t="s">
        <v>1080</v>
      </c>
      <c r="F237">
        <v>108</v>
      </c>
      <c r="G237">
        <v>1.8</v>
      </c>
      <c r="H237">
        <f>ROUND(Calls[[#This Row],[Satisfactory Rating]],0)</f>
        <v>2</v>
      </c>
      <c r="I237" t="str" cm="1">
        <f t="array" ref="I237">_xlfn.IFS(Calls[[#This Row],[Duration (Min)]]&lt;=30,"Under 30 mins",Calls[[#This Row],[Duration (Min)]]&lt;=60,"Under 1h",Calls[[#This Row],[Duration (Min)]]&lt;=120,"Under 2",TRUE,"More than 2h")</f>
        <v>Under 1h</v>
      </c>
      <c r="J237">
        <f>IF(MONTH(Calls[[#This Row],[Date of Call]])&lt;=3,YEAR(Calls[[#This Row],[Date of Call]]),YEAR(Calls[[#This Row],[Date of Call]])+1)</f>
        <v>2025</v>
      </c>
      <c r="K237" t="str">
        <f>TEXT(Calls[[#This Row],[Date of Call]],"dddd")</f>
        <v>Monday</v>
      </c>
      <c r="L237" t="str">
        <f>TEXT(Calls[[#This Row],[Date of Call]],"mmm")</f>
        <v>Feb</v>
      </c>
    </row>
    <row r="238" spans="1:12" x14ac:dyDescent="0.3">
      <c r="A238" t="s">
        <v>242</v>
      </c>
      <c r="B238" t="s">
        <v>1018</v>
      </c>
      <c r="C238">
        <v>135</v>
      </c>
      <c r="D238" t="s">
        <v>1029</v>
      </c>
      <c r="E238" t="s">
        <v>1080</v>
      </c>
      <c r="F238">
        <v>71</v>
      </c>
      <c r="G238">
        <v>2.6</v>
      </c>
      <c r="H238">
        <f>ROUND(Calls[[#This Row],[Satisfactory Rating]],0)</f>
        <v>3</v>
      </c>
      <c r="I238" t="str" cm="1">
        <f t="array" ref="I238">_xlfn.IFS(Calls[[#This Row],[Duration (Min)]]&lt;=30,"Under 30 mins",Calls[[#This Row],[Duration (Min)]]&lt;=60,"Under 1h",Calls[[#This Row],[Duration (Min)]]&lt;=120,"Under 2",TRUE,"More than 2h")</f>
        <v>More than 2h</v>
      </c>
      <c r="J238">
        <f>IF(MONTH(Calls[[#This Row],[Date of Call]])&lt;=3,YEAR(Calls[[#This Row],[Date of Call]]),YEAR(Calls[[#This Row],[Date of Call]])+1)</f>
        <v>2025</v>
      </c>
      <c r="K238" t="str">
        <f>TEXT(Calls[[#This Row],[Date of Call]],"dddd")</f>
        <v>Monday</v>
      </c>
      <c r="L238" t="str">
        <f>TEXT(Calls[[#This Row],[Date of Call]],"mmm")</f>
        <v>Feb</v>
      </c>
    </row>
    <row r="239" spans="1:12" x14ac:dyDescent="0.3">
      <c r="A239" t="s">
        <v>243</v>
      </c>
      <c r="B239" t="s">
        <v>1010</v>
      </c>
      <c r="C239">
        <v>115</v>
      </c>
      <c r="D239" t="s">
        <v>1028</v>
      </c>
      <c r="E239" t="s">
        <v>1080</v>
      </c>
      <c r="F239">
        <v>69</v>
      </c>
      <c r="G239">
        <v>1.3</v>
      </c>
      <c r="H239">
        <f>ROUND(Calls[[#This Row],[Satisfactory Rating]],0)</f>
        <v>1</v>
      </c>
      <c r="I239" t="str" cm="1">
        <f t="array" ref="I239">_xlfn.IFS(Calls[[#This Row],[Duration (Min)]]&lt;=30,"Under 30 mins",Calls[[#This Row],[Duration (Min)]]&lt;=60,"Under 1h",Calls[[#This Row],[Duration (Min)]]&lt;=120,"Under 2",TRUE,"More than 2h")</f>
        <v>Under 2</v>
      </c>
      <c r="J239">
        <f>IF(MONTH(Calls[[#This Row],[Date of Call]])&lt;=3,YEAR(Calls[[#This Row],[Date of Call]]),YEAR(Calls[[#This Row],[Date of Call]])+1)</f>
        <v>2025</v>
      </c>
      <c r="K239" t="str">
        <f>TEXT(Calls[[#This Row],[Date of Call]],"dddd")</f>
        <v>Monday</v>
      </c>
      <c r="L239" t="str">
        <f>TEXT(Calls[[#This Row],[Date of Call]],"mmm")</f>
        <v>Feb</v>
      </c>
    </row>
    <row r="240" spans="1:12" x14ac:dyDescent="0.3">
      <c r="A240" t="s">
        <v>244</v>
      </c>
      <c r="B240" t="s">
        <v>1007</v>
      </c>
      <c r="C240">
        <v>136</v>
      </c>
      <c r="D240" t="s">
        <v>1031</v>
      </c>
      <c r="E240" t="s">
        <v>1080</v>
      </c>
      <c r="F240">
        <v>22</v>
      </c>
      <c r="G240">
        <v>3.1</v>
      </c>
      <c r="H240">
        <f>ROUND(Calls[[#This Row],[Satisfactory Rating]],0)</f>
        <v>3</v>
      </c>
      <c r="I240" t="str" cm="1">
        <f t="array" ref="I240">_xlfn.IFS(Calls[[#This Row],[Duration (Min)]]&lt;=30,"Under 30 mins",Calls[[#This Row],[Duration (Min)]]&lt;=60,"Under 1h",Calls[[#This Row],[Duration (Min)]]&lt;=120,"Under 2",TRUE,"More than 2h")</f>
        <v>More than 2h</v>
      </c>
      <c r="J240">
        <f>IF(MONTH(Calls[[#This Row],[Date of Call]])&lt;=3,YEAR(Calls[[#This Row],[Date of Call]]),YEAR(Calls[[#This Row],[Date of Call]])+1)</f>
        <v>2025</v>
      </c>
      <c r="K240" t="str">
        <f>TEXT(Calls[[#This Row],[Date of Call]],"dddd")</f>
        <v>Monday</v>
      </c>
      <c r="L240" t="str">
        <f>TEXT(Calls[[#This Row],[Date of Call]],"mmm")</f>
        <v>Feb</v>
      </c>
    </row>
    <row r="241" spans="1:12" x14ac:dyDescent="0.3">
      <c r="A241" t="s">
        <v>245</v>
      </c>
      <c r="B241" t="s">
        <v>1010</v>
      </c>
      <c r="C241">
        <v>52</v>
      </c>
      <c r="D241" t="s">
        <v>1027</v>
      </c>
      <c r="E241" t="s">
        <v>1080</v>
      </c>
      <c r="F241">
        <v>45</v>
      </c>
      <c r="G241">
        <v>1.8</v>
      </c>
      <c r="H241">
        <f>ROUND(Calls[[#This Row],[Satisfactory Rating]],0)</f>
        <v>2</v>
      </c>
      <c r="I241" t="str" cm="1">
        <f t="array" ref="I241">_xlfn.IFS(Calls[[#This Row],[Duration (Min)]]&lt;=30,"Under 30 mins",Calls[[#This Row],[Duration (Min)]]&lt;=60,"Under 1h",Calls[[#This Row],[Duration (Min)]]&lt;=120,"Under 2",TRUE,"More than 2h")</f>
        <v>Under 1h</v>
      </c>
      <c r="J241">
        <f>IF(MONTH(Calls[[#This Row],[Date of Call]])&lt;=3,YEAR(Calls[[#This Row],[Date of Call]]),YEAR(Calls[[#This Row],[Date of Call]])+1)</f>
        <v>2025</v>
      </c>
      <c r="K241" t="str">
        <f>TEXT(Calls[[#This Row],[Date of Call]],"dddd")</f>
        <v>Monday</v>
      </c>
      <c r="L241" t="str">
        <f>TEXT(Calls[[#This Row],[Date of Call]],"mmm")</f>
        <v>Feb</v>
      </c>
    </row>
    <row r="242" spans="1:12" x14ac:dyDescent="0.3">
      <c r="A242" t="s">
        <v>246</v>
      </c>
      <c r="B242" t="s">
        <v>1017</v>
      </c>
      <c r="C242">
        <v>10</v>
      </c>
      <c r="D242" t="s">
        <v>1032</v>
      </c>
      <c r="E242" t="s">
        <v>1081</v>
      </c>
      <c r="F242">
        <v>77</v>
      </c>
      <c r="G242">
        <v>1.8</v>
      </c>
      <c r="H242">
        <f>ROUND(Calls[[#This Row],[Satisfactory Rating]],0)</f>
        <v>2</v>
      </c>
      <c r="I242" t="str" cm="1">
        <f t="array" ref="I242">_xlfn.IFS(Calls[[#This Row],[Duration (Min)]]&lt;=30,"Under 30 mins",Calls[[#This Row],[Duration (Min)]]&lt;=60,"Under 1h",Calls[[#This Row],[Duration (Min)]]&lt;=120,"Under 2",TRUE,"More than 2h")</f>
        <v>Under 30 mins</v>
      </c>
      <c r="J242">
        <f>IF(MONTH(Calls[[#This Row],[Date of Call]])&lt;=3,YEAR(Calls[[#This Row],[Date of Call]]),YEAR(Calls[[#This Row],[Date of Call]])+1)</f>
        <v>2025</v>
      </c>
      <c r="K242" t="str">
        <f>TEXT(Calls[[#This Row],[Date of Call]],"dddd")</f>
        <v>Tuesday</v>
      </c>
      <c r="L242" t="str">
        <f>TEXT(Calls[[#This Row],[Date of Call]],"mmm")</f>
        <v>Feb</v>
      </c>
    </row>
    <row r="243" spans="1:12" x14ac:dyDescent="0.3">
      <c r="A243" t="s">
        <v>247</v>
      </c>
      <c r="B243" t="s">
        <v>1008</v>
      </c>
      <c r="C243">
        <v>122</v>
      </c>
      <c r="D243" t="s">
        <v>1028</v>
      </c>
      <c r="E243" t="s">
        <v>1081</v>
      </c>
      <c r="F243">
        <v>91</v>
      </c>
      <c r="G243">
        <v>3.1</v>
      </c>
      <c r="H243">
        <f>ROUND(Calls[[#This Row],[Satisfactory Rating]],0)</f>
        <v>3</v>
      </c>
      <c r="I243" t="str" cm="1">
        <f t="array" ref="I243">_xlfn.IFS(Calls[[#This Row],[Duration (Min)]]&lt;=30,"Under 30 mins",Calls[[#This Row],[Duration (Min)]]&lt;=60,"Under 1h",Calls[[#This Row],[Duration (Min)]]&lt;=120,"Under 2",TRUE,"More than 2h")</f>
        <v>More than 2h</v>
      </c>
      <c r="J243">
        <f>IF(MONTH(Calls[[#This Row],[Date of Call]])&lt;=3,YEAR(Calls[[#This Row],[Date of Call]]),YEAR(Calls[[#This Row],[Date of Call]])+1)</f>
        <v>2025</v>
      </c>
      <c r="K243" t="str">
        <f>TEXT(Calls[[#This Row],[Date of Call]],"dddd")</f>
        <v>Tuesday</v>
      </c>
      <c r="L243" t="str">
        <f>TEXT(Calls[[#This Row],[Date of Call]],"mmm")</f>
        <v>Feb</v>
      </c>
    </row>
    <row r="244" spans="1:12" x14ac:dyDescent="0.3">
      <c r="A244" t="s">
        <v>248</v>
      </c>
      <c r="B244" t="s">
        <v>1012</v>
      </c>
      <c r="C244">
        <v>119</v>
      </c>
      <c r="D244" t="s">
        <v>1027</v>
      </c>
      <c r="E244" t="s">
        <v>1081</v>
      </c>
      <c r="F244">
        <v>49</v>
      </c>
      <c r="G244">
        <v>1</v>
      </c>
      <c r="H244">
        <f>ROUND(Calls[[#This Row],[Satisfactory Rating]],0)</f>
        <v>1</v>
      </c>
      <c r="I244" t="str" cm="1">
        <f t="array" ref="I244">_xlfn.IFS(Calls[[#This Row],[Duration (Min)]]&lt;=30,"Under 30 mins",Calls[[#This Row],[Duration (Min)]]&lt;=60,"Under 1h",Calls[[#This Row],[Duration (Min)]]&lt;=120,"Under 2",TRUE,"More than 2h")</f>
        <v>Under 2</v>
      </c>
      <c r="J244">
        <f>IF(MONTH(Calls[[#This Row],[Date of Call]])&lt;=3,YEAR(Calls[[#This Row],[Date of Call]]),YEAR(Calls[[#This Row],[Date of Call]])+1)</f>
        <v>2025</v>
      </c>
      <c r="K244" t="str">
        <f>TEXT(Calls[[#This Row],[Date of Call]],"dddd")</f>
        <v>Tuesday</v>
      </c>
      <c r="L244" t="str">
        <f>TEXT(Calls[[#This Row],[Date of Call]],"mmm")</f>
        <v>Feb</v>
      </c>
    </row>
    <row r="245" spans="1:12" x14ac:dyDescent="0.3">
      <c r="A245" t="s">
        <v>249</v>
      </c>
      <c r="B245" t="s">
        <v>1023</v>
      </c>
      <c r="C245">
        <v>106</v>
      </c>
      <c r="D245" t="s">
        <v>1029</v>
      </c>
      <c r="E245" t="s">
        <v>1081</v>
      </c>
      <c r="F245">
        <v>123</v>
      </c>
      <c r="G245">
        <v>1.5</v>
      </c>
      <c r="H245">
        <f>ROUND(Calls[[#This Row],[Satisfactory Rating]],0)</f>
        <v>2</v>
      </c>
      <c r="I245" t="str" cm="1">
        <f t="array" ref="I245">_xlfn.IFS(Calls[[#This Row],[Duration (Min)]]&lt;=30,"Under 30 mins",Calls[[#This Row],[Duration (Min)]]&lt;=60,"Under 1h",Calls[[#This Row],[Duration (Min)]]&lt;=120,"Under 2",TRUE,"More than 2h")</f>
        <v>Under 2</v>
      </c>
      <c r="J245">
        <f>IF(MONTH(Calls[[#This Row],[Date of Call]])&lt;=3,YEAR(Calls[[#This Row],[Date of Call]]),YEAR(Calls[[#This Row],[Date of Call]])+1)</f>
        <v>2025</v>
      </c>
      <c r="K245" t="str">
        <f>TEXT(Calls[[#This Row],[Date of Call]],"dddd")</f>
        <v>Tuesday</v>
      </c>
      <c r="L245" t="str">
        <f>TEXT(Calls[[#This Row],[Date of Call]],"mmm")</f>
        <v>Feb</v>
      </c>
    </row>
    <row r="246" spans="1:12" x14ac:dyDescent="0.3">
      <c r="A246" t="s">
        <v>250</v>
      </c>
      <c r="B246" t="s">
        <v>1016</v>
      </c>
      <c r="C246">
        <v>70</v>
      </c>
      <c r="D246" t="s">
        <v>1029</v>
      </c>
      <c r="E246" t="s">
        <v>1081</v>
      </c>
      <c r="F246">
        <v>71</v>
      </c>
      <c r="G246">
        <v>2.8</v>
      </c>
      <c r="H246">
        <f>ROUND(Calls[[#This Row],[Satisfactory Rating]],0)</f>
        <v>3</v>
      </c>
      <c r="I246" t="str" cm="1">
        <f t="array" ref="I246">_xlfn.IFS(Calls[[#This Row],[Duration (Min)]]&lt;=30,"Under 30 mins",Calls[[#This Row],[Duration (Min)]]&lt;=60,"Under 1h",Calls[[#This Row],[Duration (Min)]]&lt;=120,"Under 2",TRUE,"More than 2h")</f>
        <v>Under 2</v>
      </c>
      <c r="J246">
        <f>IF(MONTH(Calls[[#This Row],[Date of Call]])&lt;=3,YEAR(Calls[[#This Row],[Date of Call]]),YEAR(Calls[[#This Row],[Date of Call]])+1)</f>
        <v>2025</v>
      </c>
      <c r="K246" t="str">
        <f>TEXT(Calls[[#This Row],[Date of Call]],"dddd")</f>
        <v>Tuesday</v>
      </c>
      <c r="L246" t="str">
        <f>TEXT(Calls[[#This Row],[Date of Call]],"mmm")</f>
        <v>Feb</v>
      </c>
    </row>
    <row r="247" spans="1:12" x14ac:dyDescent="0.3">
      <c r="A247" t="s">
        <v>251</v>
      </c>
      <c r="B247" t="s">
        <v>1017</v>
      </c>
      <c r="C247">
        <v>104</v>
      </c>
      <c r="D247" t="s">
        <v>1031</v>
      </c>
      <c r="E247" t="s">
        <v>1082</v>
      </c>
      <c r="F247">
        <v>96</v>
      </c>
      <c r="G247">
        <v>4.5</v>
      </c>
      <c r="H247">
        <f>ROUND(Calls[[#This Row],[Satisfactory Rating]],0)</f>
        <v>5</v>
      </c>
      <c r="I247" t="str" cm="1">
        <f t="array" ref="I247">_xlfn.IFS(Calls[[#This Row],[Duration (Min)]]&lt;=30,"Under 30 mins",Calls[[#This Row],[Duration (Min)]]&lt;=60,"Under 1h",Calls[[#This Row],[Duration (Min)]]&lt;=120,"Under 2",TRUE,"More than 2h")</f>
        <v>Under 2</v>
      </c>
      <c r="J247">
        <f>IF(MONTH(Calls[[#This Row],[Date of Call]])&lt;=3,YEAR(Calls[[#This Row],[Date of Call]]),YEAR(Calls[[#This Row],[Date of Call]])+1)</f>
        <v>2025</v>
      </c>
      <c r="K247" t="str">
        <f>TEXT(Calls[[#This Row],[Date of Call]],"dddd")</f>
        <v>Wednesday</v>
      </c>
      <c r="L247" t="str">
        <f>TEXT(Calls[[#This Row],[Date of Call]],"mmm")</f>
        <v>Feb</v>
      </c>
    </row>
    <row r="248" spans="1:12" x14ac:dyDescent="0.3">
      <c r="A248" t="s">
        <v>252</v>
      </c>
      <c r="B248" t="s">
        <v>1009</v>
      </c>
      <c r="C248">
        <v>134</v>
      </c>
      <c r="D248" t="s">
        <v>1027</v>
      </c>
      <c r="E248" t="s">
        <v>1082</v>
      </c>
      <c r="F248">
        <v>145</v>
      </c>
      <c r="G248">
        <v>2.7</v>
      </c>
      <c r="H248">
        <f>ROUND(Calls[[#This Row],[Satisfactory Rating]],0)</f>
        <v>3</v>
      </c>
      <c r="I248" t="str" cm="1">
        <f t="array" ref="I248">_xlfn.IFS(Calls[[#This Row],[Duration (Min)]]&lt;=30,"Under 30 mins",Calls[[#This Row],[Duration (Min)]]&lt;=60,"Under 1h",Calls[[#This Row],[Duration (Min)]]&lt;=120,"Under 2",TRUE,"More than 2h")</f>
        <v>More than 2h</v>
      </c>
      <c r="J248">
        <f>IF(MONTH(Calls[[#This Row],[Date of Call]])&lt;=3,YEAR(Calls[[#This Row],[Date of Call]]),YEAR(Calls[[#This Row],[Date of Call]])+1)</f>
        <v>2025</v>
      </c>
      <c r="K248" t="str">
        <f>TEXT(Calls[[#This Row],[Date of Call]],"dddd")</f>
        <v>Wednesday</v>
      </c>
      <c r="L248" t="str">
        <f>TEXT(Calls[[#This Row],[Date of Call]],"mmm")</f>
        <v>Feb</v>
      </c>
    </row>
    <row r="249" spans="1:12" x14ac:dyDescent="0.3">
      <c r="A249" t="s">
        <v>253</v>
      </c>
      <c r="B249" t="s">
        <v>1022</v>
      </c>
      <c r="C249">
        <v>123</v>
      </c>
      <c r="D249" t="s">
        <v>1026</v>
      </c>
      <c r="E249" t="s">
        <v>1082</v>
      </c>
      <c r="F249">
        <v>101</v>
      </c>
      <c r="G249">
        <v>4.7</v>
      </c>
      <c r="H249">
        <f>ROUND(Calls[[#This Row],[Satisfactory Rating]],0)</f>
        <v>5</v>
      </c>
      <c r="I249" t="str" cm="1">
        <f t="array" ref="I249">_xlfn.IFS(Calls[[#This Row],[Duration (Min)]]&lt;=30,"Under 30 mins",Calls[[#This Row],[Duration (Min)]]&lt;=60,"Under 1h",Calls[[#This Row],[Duration (Min)]]&lt;=120,"Under 2",TRUE,"More than 2h")</f>
        <v>More than 2h</v>
      </c>
      <c r="J249">
        <f>IF(MONTH(Calls[[#This Row],[Date of Call]])&lt;=3,YEAR(Calls[[#This Row],[Date of Call]]),YEAR(Calls[[#This Row],[Date of Call]])+1)</f>
        <v>2025</v>
      </c>
      <c r="K249" t="str">
        <f>TEXT(Calls[[#This Row],[Date of Call]],"dddd")</f>
        <v>Wednesday</v>
      </c>
      <c r="L249" t="str">
        <f>TEXT(Calls[[#This Row],[Date of Call]],"mmm")</f>
        <v>Feb</v>
      </c>
    </row>
    <row r="250" spans="1:12" x14ac:dyDescent="0.3">
      <c r="A250" t="s">
        <v>254</v>
      </c>
      <c r="B250" t="s">
        <v>1006</v>
      </c>
      <c r="C250">
        <v>89</v>
      </c>
      <c r="D250" t="s">
        <v>1030</v>
      </c>
      <c r="E250" t="s">
        <v>1082</v>
      </c>
      <c r="F250">
        <v>117</v>
      </c>
      <c r="G250">
        <v>4.3</v>
      </c>
      <c r="H250">
        <f>ROUND(Calls[[#This Row],[Satisfactory Rating]],0)</f>
        <v>4</v>
      </c>
      <c r="I250" t="str" cm="1">
        <f t="array" ref="I250">_xlfn.IFS(Calls[[#This Row],[Duration (Min)]]&lt;=30,"Under 30 mins",Calls[[#This Row],[Duration (Min)]]&lt;=60,"Under 1h",Calls[[#This Row],[Duration (Min)]]&lt;=120,"Under 2",TRUE,"More than 2h")</f>
        <v>Under 2</v>
      </c>
      <c r="J250">
        <f>IF(MONTH(Calls[[#This Row],[Date of Call]])&lt;=3,YEAR(Calls[[#This Row],[Date of Call]]),YEAR(Calls[[#This Row],[Date of Call]])+1)</f>
        <v>2025</v>
      </c>
      <c r="K250" t="str">
        <f>TEXT(Calls[[#This Row],[Date of Call]],"dddd")</f>
        <v>Wednesday</v>
      </c>
      <c r="L250" t="str">
        <f>TEXT(Calls[[#This Row],[Date of Call]],"mmm")</f>
        <v>Feb</v>
      </c>
    </row>
    <row r="251" spans="1:12" x14ac:dyDescent="0.3">
      <c r="A251" t="s">
        <v>255</v>
      </c>
      <c r="B251" t="s">
        <v>1014</v>
      </c>
      <c r="C251">
        <v>85</v>
      </c>
      <c r="D251" t="s">
        <v>1032</v>
      </c>
      <c r="E251" t="s">
        <v>1082</v>
      </c>
      <c r="F251">
        <v>87</v>
      </c>
      <c r="G251">
        <v>1.4</v>
      </c>
      <c r="H251">
        <f>ROUND(Calls[[#This Row],[Satisfactory Rating]],0)</f>
        <v>1</v>
      </c>
      <c r="I251" t="str" cm="1">
        <f t="array" ref="I251">_xlfn.IFS(Calls[[#This Row],[Duration (Min)]]&lt;=30,"Under 30 mins",Calls[[#This Row],[Duration (Min)]]&lt;=60,"Under 1h",Calls[[#This Row],[Duration (Min)]]&lt;=120,"Under 2",TRUE,"More than 2h")</f>
        <v>Under 2</v>
      </c>
      <c r="J251">
        <f>IF(MONTH(Calls[[#This Row],[Date of Call]])&lt;=3,YEAR(Calls[[#This Row],[Date of Call]]),YEAR(Calls[[#This Row],[Date of Call]])+1)</f>
        <v>2025</v>
      </c>
      <c r="K251" t="str">
        <f>TEXT(Calls[[#This Row],[Date of Call]],"dddd")</f>
        <v>Wednesday</v>
      </c>
      <c r="L251" t="str">
        <f>TEXT(Calls[[#This Row],[Date of Call]],"mmm")</f>
        <v>Feb</v>
      </c>
    </row>
    <row r="252" spans="1:12" x14ac:dyDescent="0.3">
      <c r="A252" t="s">
        <v>256</v>
      </c>
      <c r="B252" t="s">
        <v>1015</v>
      </c>
      <c r="C252">
        <v>14</v>
      </c>
      <c r="D252" t="s">
        <v>1032</v>
      </c>
      <c r="E252" t="s">
        <v>1083</v>
      </c>
      <c r="F252">
        <v>146</v>
      </c>
      <c r="G252">
        <v>4.2</v>
      </c>
      <c r="H252">
        <f>ROUND(Calls[[#This Row],[Satisfactory Rating]],0)</f>
        <v>4</v>
      </c>
      <c r="I252" t="str" cm="1">
        <f t="array" ref="I252">_xlfn.IFS(Calls[[#This Row],[Duration (Min)]]&lt;=30,"Under 30 mins",Calls[[#This Row],[Duration (Min)]]&lt;=60,"Under 1h",Calls[[#This Row],[Duration (Min)]]&lt;=120,"Under 2",TRUE,"More than 2h")</f>
        <v>Under 30 mins</v>
      </c>
      <c r="J252">
        <f>IF(MONTH(Calls[[#This Row],[Date of Call]])&lt;=3,YEAR(Calls[[#This Row],[Date of Call]]),YEAR(Calls[[#This Row],[Date of Call]])+1)</f>
        <v>2025</v>
      </c>
      <c r="K252" t="str">
        <f>TEXT(Calls[[#This Row],[Date of Call]],"dddd")</f>
        <v>Thursday</v>
      </c>
      <c r="L252" t="str">
        <f>TEXT(Calls[[#This Row],[Date of Call]],"mmm")</f>
        <v>Feb</v>
      </c>
    </row>
    <row r="253" spans="1:12" x14ac:dyDescent="0.3">
      <c r="A253" t="s">
        <v>257</v>
      </c>
      <c r="B253" t="s">
        <v>1010</v>
      </c>
      <c r="C253">
        <v>43</v>
      </c>
      <c r="D253" t="s">
        <v>1027</v>
      </c>
      <c r="E253" t="s">
        <v>1083</v>
      </c>
      <c r="F253">
        <v>74</v>
      </c>
      <c r="G253">
        <v>3.8</v>
      </c>
      <c r="H253">
        <f>ROUND(Calls[[#This Row],[Satisfactory Rating]],0)</f>
        <v>4</v>
      </c>
      <c r="I253" t="str" cm="1">
        <f t="array" ref="I253">_xlfn.IFS(Calls[[#This Row],[Duration (Min)]]&lt;=30,"Under 30 mins",Calls[[#This Row],[Duration (Min)]]&lt;=60,"Under 1h",Calls[[#This Row],[Duration (Min)]]&lt;=120,"Under 2",TRUE,"More than 2h")</f>
        <v>Under 1h</v>
      </c>
      <c r="J253">
        <f>IF(MONTH(Calls[[#This Row],[Date of Call]])&lt;=3,YEAR(Calls[[#This Row],[Date of Call]]),YEAR(Calls[[#This Row],[Date of Call]])+1)</f>
        <v>2025</v>
      </c>
      <c r="K253" t="str">
        <f>TEXT(Calls[[#This Row],[Date of Call]],"dddd")</f>
        <v>Thursday</v>
      </c>
      <c r="L253" t="str">
        <f>TEXT(Calls[[#This Row],[Date of Call]],"mmm")</f>
        <v>Feb</v>
      </c>
    </row>
    <row r="254" spans="1:12" x14ac:dyDescent="0.3">
      <c r="A254" t="s">
        <v>258</v>
      </c>
      <c r="B254" t="s">
        <v>1007</v>
      </c>
      <c r="C254">
        <v>100</v>
      </c>
      <c r="D254" t="s">
        <v>1027</v>
      </c>
      <c r="E254" t="s">
        <v>1083</v>
      </c>
      <c r="F254">
        <v>68</v>
      </c>
      <c r="G254">
        <v>4.5999999999999996</v>
      </c>
      <c r="H254">
        <f>ROUND(Calls[[#This Row],[Satisfactory Rating]],0)</f>
        <v>5</v>
      </c>
      <c r="I254" t="str" cm="1">
        <f t="array" ref="I254">_xlfn.IFS(Calls[[#This Row],[Duration (Min)]]&lt;=30,"Under 30 mins",Calls[[#This Row],[Duration (Min)]]&lt;=60,"Under 1h",Calls[[#This Row],[Duration (Min)]]&lt;=120,"Under 2",TRUE,"More than 2h")</f>
        <v>Under 2</v>
      </c>
      <c r="J254">
        <f>IF(MONTH(Calls[[#This Row],[Date of Call]])&lt;=3,YEAR(Calls[[#This Row],[Date of Call]]),YEAR(Calls[[#This Row],[Date of Call]])+1)</f>
        <v>2025</v>
      </c>
      <c r="K254" t="str">
        <f>TEXT(Calls[[#This Row],[Date of Call]],"dddd")</f>
        <v>Thursday</v>
      </c>
      <c r="L254" t="str">
        <f>TEXT(Calls[[#This Row],[Date of Call]],"mmm")</f>
        <v>Feb</v>
      </c>
    </row>
    <row r="255" spans="1:12" x14ac:dyDescent="0.3">
      <c r="A255" t="s">
        <v>259</v>
      </c>
      <c r="B255" t="s">
        <v>1010</v>
      </c>
      <c r="C255">
        <v>14</v>
      </c>
      <c r="D255" t="s">
        <v>1027</v>
      </c>
      <c r="E255" t="s">
        <v>1083</v>
      </c>
      <c r="F255">
        <v>66</v>
      </c>
      <c r="G255">
        <v>4.0999999999999996</v>
      </c>
      <c r="H255">
        <f>ROUND(Calls[[#This Row],[Satisfactory Rating]],0)</f>
        <v>4</v>
      </c>
      <c r="I255" t="str" cm="1">
        <f t="array" ref="I255">_xlfn.IFS(Calls[[#This Row],[Duration (Min)]]&lt;=30,"Under 30 mins",Calls[[#This Row],[Duration (Min)]]&lt;=60,"Under 1h",Calls[[#This Row],[Duration (Min)]]&lt;=120,"Under 2",TRUE,"More than 2h")</f>
        <v>Under 30 mins</v>
      </c>
      <c r="J255">
        <f>IF(MONTH(Calls[[#This Row],[Date of Call]])&lt;=3,YEAR(Calls[[#This Row],[Date of Call]]),YEAR(Calls[[#This Row],[Date of Call]])+1)</f>
        <v>2025</v>
      </c>
      <c r="K255" t="str">
        <f>TEXT(Calls[[#This Row],[Date of Call]],"dddd")</f>
        <v>Thursday</v>
      </c>
      <c r="L255" t="str">
        <f>TEXT(Calls[[#This Row],[Date of Call]],"mmm")</f>
        <v>Feb</v>
      </c>
    </row>
    <row r="256" spans="1:12" x14ac:dyDescent="0.3">
      <c r="A256" t="s">
        <v>260</v>
      </c>
      <c r="B256" t="s">
        <v>1018</v>
      </c>
      <c r="C256">
        <v>87</v>
      </c>
      <c r="D256" t="s">
        <v>1027</v>
      </c>
      <c r="E256" t="s">
        <v>1083</v>
      </c>
      <c r="F256">
        <v>80</v>
      </c>
      <c r="G256">
        <v>1.6</v>
      </c>
      <c r="H256">
        <f>ROUND(Calls[[#This Row],[Satisfactory Rating]],0)</f>
        <v>2</v>
      </c>
      <c r="I256" t="str" cm="1">
        <f t="array" ref="I256">_xlfn.IFS(Calls[[#This Row],[Duration (Min)]]&lt;=30,"Under 30 mins",Calls[[#This Row],[Duration (Min)]]&lt;=60,"Under 1h",Calls[[#This Row],[Duration (Min)]]&lt;=120,"Under 2",TRUE,"More than 2h")</f>
        <v>Under 2</v>
      </c>
      <c r="J256">
        <f>IF(MONTH(Calls[[#This Row],[Date of Call]])&lt;=3,YEAR(Calls[[#This Row],[Date of Call]]),YEAR(Calls[[#This Row],[Date of Call]])+1)</f>
        <v>2025</v>
      </c>
      <c r="K256" t="str">
        <f>TEXT(Calls[[#This Row],[Date of Call]],"dddd")</f>
        <v>Thursday</v>
      </c>
      <c r="L256" t="str">
        <f>TEXT(Calls[[#This Row],[Date of Call]],"mmm")</f>
        <v>Feb</v>
      </c>
    </row>
    <row r="257" spans="1:12" x14ac:dyDescent="0.3">
      <c r="A257" t="s">
        <v>261</v>
      </c>
      <c r="B257" t="s">
        <v>1012</v>
      </c>
      <c r="C257">
        <v>52</v>
      </c>
      <c r="D257" t="s">
        <v>1027</v>
      </c>
      <c r="E257" t="s">
        <v>1084</v>
      </c>
      <c r="F257">
        <v>123</v>
      </c>
      <c r="G257">
        <v>4.3</v>
      </c>
      <c r="H257">
        <f>ROUND(Calls[[#This Row],[Satisfactory Rating]],0)</f>
        <v>4</v>
      </c>
      <c r="I257" t="str" cm="1">
        <f t="array" ref="I257">_xlfn.IFS(Calls[[#This Row],[Duration (Min)]]&lt;=30,"Under 30 mins",Calls[[#This Row],[Duration (Min)]]&lt;=60,"Under 1h",Calls[[#This Row],[Duration (Min)]]&lt;=120,"Under 2",TRUE,"More than 2h")</f>
        <v>Under 1h</v>
      </c>
      <c r="J257">
        <f>IF(MONTH(Calls[[#This Row],[Date of Call]])&lt;=3,YEAR(Calls[[#This Row],[Date of Call]]),YEAR(Calls[[#This Row],[Date of Call]])+1)</f>
        <v>2025</v>
      </c>
      <c r="K257" t="str">
        <f>TEXT(Calls[[#This Row],[Date of Call]],"dddd")</f>
        <v>Friday</v>
      </c>
      <c r="L257" t="str">
        <f>TEXT(Calls[[#This Row],[Date of Call]],"mmm")</f>
        <v>Feb</v>
      </c>
    </row>
    <row r="258" spans="1:12" x14ac:dyDescent="0.3">
      <c r="A258" t="s">
        <v>262</v>
      </c>
      <c r="B258" t="s">
        <v>1006</v>
      </c>
      <c r="C258">
        <v>75</v>
      </c>
      <c r="D258" t="s">
        <v>1029</v>
      </c>
      <c r="E258" t="s">
        <v>1084</v>
      </c>
      <c r="F258">
        <v>101</v>
      </c>
      <c r="G258">
        <v>5</v>
      </c>
      <c r="H258">
        <f>ROUND(Calls[[#This Row],[Satisfactory Rating]],0)</f>
        <v>5</v>
      </c>
      <c r="I258" t="str" cm="1">
        <f t="array" ref="I258">_xlfn.IFS(Calls[[#This Row],[Duration (Min)]]&lt;=30,"Under 30 mins",Calls[[#This Row],[Duration (Min)]]&lt;=60,"Under 1h",Calls[[#This Row],[Duration (Min)]]&lt;=120,"Under 2",TRUE,"More than 2h")</f>
        <v>Under 2</v>
      </c>
      <c r="J258">
        <f>IF(MONTH(Calls[[#This Row],[Date of Call]])&lt;=3,YEAR(Calls[[#This Row],[Date of Call]]),YEAR(Calls[[#This Row],[Date of Call]])+1)</f>
        <v>2025</v>
      </c>
      <c r="K258" t="str">
        <f>TEXT(Calls[[#This Row],[Date of Call]],"dddd")</f>
        <v>Friday</v>
      </c>
      <c r="L258" t="str">
        <f>TEXT(Calls[[#This Row],[Date of Call]],"mmm")</f>
        <v>Feb</v>
      </c>
    </row>
    <row r="259" spans="1:12" x14ac:dyDescent="0.3">
      <c r="A259" t="s">
        <v>263</v>
      </c>
      <c r="B259" t="s">
        <v>1019</v>
      </c>
      <c r="C259">
        <v>120</v>
      </c>
      <c r="D259" t="s">
        <v>1030</v>
      </c>
      <c r="E259" t="s">
        <v>1084</v>
      </c>
      <c r="F259">
        <v>89</v>
      </c>
      <c r="G259">
        <v>2.2000000000000002</v>
      </c>
      <c r="H259">
        <f>ROUND(Calls[[#This Row],[Satisfactory Rating]],0)</f>
        <v>2</v>
      </c>
      <c r="I259" t="str" cm="1">
        <f t="array" ref="I259">_xlfn.IFS(Calls[[#This Row],[Duration (Min)]]&lt;=30,"Under 30 mins",Calls[[#This Row],[Duration (Min)]]&lt;=60,"Under 1h",Calls[[#This Row],[Duration (Min)]]&lt;=120,"Under 2",TRUE,"More than 2h")</f>
        <v>Under 2</v>
      </c>
      <c r="J259">
        <f>IF(MONTH(Calls[[#This Row],[Date of Call]])&lt;=3,YEAR(Calls[[#This Row],[Date of Call]]),YEAR(Calls[[#This Row],[Date of Call]])+1)</f>
        <v>2025</v>
      </c>
      <c r="K259" t="str">
        <f>TEXT(Calls[[#This Row],[Date of Call]],"dddd")</f>
        <v>Friday</v>
      </c>
      <c r="L259" t="str">
        <f>TEXT(Calls[[#This Row],[Date of Call]],"mmm")</f>
        <v>Feb</v>
      </c>
    </row>
    <row r="260" spans="1:12" x14ac:dyDescent="0.3">
      <c r="A260" t="s">
        <v>264</v>
      </c>
      <c r="B260" t="s">
        <v>1006</v>
      </c>
      <c r="C260">
        <v>96</v>
      </c>
      <c r="D260" t="s">
        <v>1028</v>
      </c>
      <c r="E260" t="s">
        <v>1084</v>
      </c>
      <c r="F260">
        <v>34</v>
      </c>
      <c r="G260">
        <v>3.1</v>
      </c>
      <c r="H260">
        <f>ROUND(Calls[[#This Row],[Satisfactory Rating]],0)</f>
        <v>3</v>
      </c>
      <c r="I260" t="str" cm="1">
        <f t="array" ref="I260">_xlfn.IFS(Calls[[#This Row],[Duration (Min)]]&lt;=30,"Under 30 mins",Calls[[#This Row],[Duration (Min)]]&lt;=60,"Under 1h",Calls[[#This Row],[Duration (Min)]]&lt;=120,"Under 2",TRUE,"More than 2h")</f>
        <v>Under 2</v>
      </c>
      <c r="J260">
        <f>IF(MONTH(Calls[[#This Row],[Date of Call]])&lt;=3,YEAR(Calls[[#This Row],[Date of Call]]),YEAR(Calls[[#This Row],[Date of Call]])+1)</f>
        <v>2025</v>
      </c>
      <c r="K260" t="str">
        <f>TEXT(Calls[[#This Row],[Date of Call]],"dddd")</f>
        <v>Friday</v>
      </c>
      <c r="L260" t="str">
        <f>TEXT(Calls[[#This Row],[Date of Call]],"mmm")</f>
        <v>Feb</v>
      </c>
    </row>
    <row r="261" spans="1:12" x14ac:dyDescent="0.3">
      <c r="A261" t="s">
        <v>265</v>
      </c>
      <c r="B261" t="s">
        <v>1006</v>
      </c>
      <c r="C261">
        <v>159</v>
      </c>
      <c r="D261" t="s">
        <v>1030</v>
      </c>
      <c r="E261" t="s">
        <v>1084</v>
      </c>
      <c r="F261">
        <v>75</v>
      </c>
      <c r="G261">
        <v>2.7</v>
      </c>
      <c r="H261">
        <f>ROUND(Calls[[#This Row],[Satisfactory Rating]],0)</f>
        <v>3</v>
      </c>
      <c r="I261" t="str" cm="1">
        <f t="array" ref="I261">_xlfn.IFS(Calls[[#This Row],[Duration (Min)]]&lt;=30,"Under 30 mins",Calls[[#This Row],[Duration (Min)]]&lt;=60,"Under 1h",Calls[[#This Row],[Duration (Min)]]&lt;=120,"Under 2",TRUE,"More than 2h")</f>
        <v>More than 2h</v>
      </c>
      <c r="J261">
        <f>IF(MONTH(Calls[[#This Row],[Date of Call]])&lt;=3,YEAR(Calls[[#This Row],[Date of Call]]),YEAR(Calls[[#This Row],[Date of Call]])+1)</f>
        <v>2025</v>
      </c>
      <c r="K261" t="str">
        <f>TEXT(Calls[[#This Row],[Date of Call]],"dddd")</f>
        <v>Friday</v>
      </c>
      <c r="L261" t="str">
        <f>TEXT(Calls[[#This Row],[Date of Call]],"mmm")</f>
        <v>Feb</v>
      </c>
    </row>
    <row r="262" spans="1:12" x14ac:dyDescent="0.3">
      <c r="A262" t="s">
        <v>266</v>
      </c>
      <c r="B262" t="s">
        <v>1015</v>
      </c>
      <c r="C262">
        <v>30</v>
      </c>
      <c r="D262" t="s">
        <v>1026</v>
      </c>
      <c r="E262" t="s">
        <v>1085</v>
      </c>
      <c r="F262">
        <v>122</v>
      </c>
      <c r="G262">
        <v>1.7</v>
      </c>
      <c r="H262">
        <f>ROUND(Calls[[#This Row],[Satisfactory Rating]],0)</f>
        <v>2</v>
      </c>
      <c r="I262" t="str" cm="1">
        <f t="array" ref="I262">_xlfn.IFS(Calls[[#This Row],[Duration (Min)]]&lt;=30,"Under 30 mins",Calls[[#This Row],[Duration (Min)]]&lt;=60,"Under 1h",Calls[[#This Row],[Duration (Min)]]&lt;=120,"Under 2",TRUE,"More than 2h")</f>
        <v>Under 30 mins</v>
      </c>
      <c r="J262">
        <f>IF(MONTH(Calls[[#This Row],[Date of Call]])&lt;=3,YEAR(Calls[[#This Row],[Date of Call]]),YEAR(Calls[[#This Row],[Date of Call]])+1)</f>
        <v>2025</v>
      </c>
      <c r="K262" t="str">
        <f>TEXT(Calls[[#This Row],[Date of Call]],"dddd")</f>
        <v>Saturday</v>
      </c>
      <c r="L262" t="str">
        <f>TEXT(Calls[[#This Row],[Date of Call]],"mmm")</f>
        <v>Feb</v>
      </c>
    </row>
    <row r="263" spans="1:12" x14ac:dyDescent="0.3">
      <c r="A263" t="s">
        <v>267</v>
      </c>
      <c r="B263" t="s">
        <v>1013</v>
      </c>
      <c r="C263">
        <v>86</v>
      </c>
      <c r="D263" t="s">
        <v>1030</v>
      </c>
      <c r="E263" t="s">
        <v>1085</v>
      </c>
      <c r="F263">
        <v>71</v>
      </c>
      <c r="G263">
        <v>1.9</v>
      </c>
      <c r="H263">
        <f>ROUND(Calls[[#This Row],[Satisfactory Rating]],0)</f>
        <v>2</v>
      </c>
      <c r="I263" t="str" cm="1">
        <f t="array" ref="I263">_xlfn.IFS(Calls[[#This Row],[Duration (Min)]]&lt;=30,"Under 30 mins",Calls[[#This Row],[Duration (Min)]]&lt;=60,"Under 1h",Calls[[#This Row],[Duration (Min)]]&lt;=120,"Under 2",TRUE,"More than 2h")</f>
        <v>Under 2</v>
      </c>
      <c r="J263">
        <f>IF(MONTH(Calls[[#This Row],[Date of Call]])&lt;=3,YEAR(Calls[[#This Row],[Date of Call]]),YEAR(Calls[[#This Row],[Date of Call]])+1)</f>
        <v>2025</v>
      </c>
      <c r="K263" t="str">
        <f>TEXT(Calls[[#This Row],[Date of Call]],"dddd")</f>
        <v>Saturday</v>
      </c>
      <c r="L263" t="str">
        <f>TEXT(Calls[[#This Row],[Date of Call]],"mmm")</f>
        <v>Feb</v>
      </c>
    </row>
    <row r="264" spans="1:12" x14ac:dyDescent="0.3">
      <c r="A264" t="s">
        <v>268</v>
      </c>
      <c r="B264" t="s">
        <v>1019</v>
      </c>
      <c r="C264">
        <v>153</v>
      </c>
      <c r="D264" t="s">
        <v>1027</v>
      </c>
      <c r="E264" t="s">
        <v>1085</v>
      </c>
      <c r="F264">
        <v>111</v>
      </c>
      <c r="G264">
        <v>4.5</v>
      </c>
      <c r="H264">
        <f>ROUND(Calls[[#This Row],[Satisfactory Rating]],0)</f>
        <v>5</v>
      </c>
      <c r="I264" t="str" cm="1">
        <f t="array" ref="I264">_xlfn.IFS(Calls[[#This Row],[Duration (Min)]]&lt;=30,"Under 30 mins",Calls[[#This Row],[Duration (Min)]]&lt;=60,"Under 1h",Calls[[#This Row],[Duration (Min)]]&lt;=120,"Under 2",TRUE,"More than 2h")</f>
        <v>More than 2h</v>
      </c>
      <c r="J264">
        <f>IF(MONTH(Calls[[#This Row],[Date of Call]])&lt;=3,YEAR(Calls[[#This Row],[Date of Call]]),YEAR(Calls[[#This Row],[Date of Call]])+1)</f>
        <v>2025</v>
      </c>
      <c r="K264" t="str">
        <f>TEXT(Calls[[#This Row],[Date of Call]],"dddd")</f>
        <v>Saturday</v>
      </c>
      <c r="L264" t="str">
        <f>TEXT(Calls[[#This Row],[Date of Call]],"mmm")</f>
        <v>Feb</v>
      </c>
    </row>
    <row r="265" spans="1:12" x14ac:dyDescent="0.3">
      <c r="A265" t="s">
        <v>269</v>
      </c>
      <c r="B265" t="s">
        <v>1010</v>
      </c>
      <c r="C265">
        <v>26</v>
      </c>
      <c r="D265" t="s">
        <v>1028</v>
      </c>
      <c r="E265" t="s">
        <v>1085</v>
      </c>
      <c r="F265">
        <v>58</v>
      </c>
      <c r="G265">
        <v>3.2</v>
      </c>
      <c r="H265">
        <f>ROUND(Calls[[#This Row],[Satisfactory Rating]],0)</f>
        <v>3</v>
      </c>
      <c r="I265" t="str" cm="1">
        <f t="array" ref="I265">_xlfn.IFS(Calls[[#This Row],[Duration (Min)]]&lt;=30,"Under 30 mins",Calls[[#This Row],[Duration (Min)]]&lt;=60,"Under 1h",Calls[[#This Row],[Duration (Min)]]&lt;=120,"Under 2",TRUE,"More than 2h")</f>
        <v>Under 30 mins</v>
      </c>
      <c r="J265">
        <f>IF(MONTH(Calls[[#This Row],[Date of Call]])&lt;=3,YEAR(Calls[[#This Row],[Date of Call]]),YEAR(Calls[[#This Row],[Date of Call]])+1)</f>
        <v>2025</v>
      </c>
      <c r="K265" t="str">
        <f>TEXT(Calls[[#This Row],[Date of Call]],"dddd")</f>
        <v>Saturday</v>
      </c>
      <c r="L265" t="str">
        <f>TEXT(Calls[[#This Row],[Date of Call]],"mmm")</f>
        <v>Feb</v>
      </c>
    </row>
    <row r="266" spans="1:12" x14ac:dyDescent="0.3">
      <c r="A266" t="s">
        <v>270</v>
      </c>
      <c r="B266" t="s">
        <v>1009</v>
      </c>
      <c r="C266">
        <v>122</v>
      </c>
      <c r="D266" t="s">
        <v>1031</v>
      </c>
      <c r="E266" t="s">
        <v>1085</v>
      </c>
      <c r="F266">
        <v>104</v>
      </c>
      <c r="G266">
        <v>4.3</v>
      </c>
      <c r="H266">
        <f>ROUND(Calls[[#This Row],[Satisfactory Rating]],0)</f>
        <v>4</v>
      </c>
      <c r="I266" t="str" cm="1">
        <f t="array" ref="I266">_xlfn.IFS(Calls[[#This Row],[Duration (Min)]]&lt;=30,"Under 30 mins",Calls[[#This Row],[Duration (Min)]]&lt;=60,"Under 1h",Calls[[#This Row],[Duration (Min)]]&lt;=120,"Under 2",TRUE,"More than 2h")</f>
        <v>More than 2h</v>
      </c>
      <c r="J266">
        <f>IF(MONTH(Calls[[#This Row],[Date of Call]])&lt;=3,YEAR(Calls[[#This Row],[Date of Call]]),YEAR(Calls[[#This Row],[Date of Call]])+1)</f>
        <v>2025</v>
      </c>
      <c r="K266" t="str">
        <f>TEXT(Calls[[#This Row],[Date of Call]],"dddd")</f>
        <v>Saturday</v>
      </c>
      <c r="L266" t="str">
        <f>TEXT(Calls[[#This Row],[Date of Call]],"mmm")</f>
        <v>Feb</v>
      </c>
    </row>
    <row r="267" spans="1:12" x14ac:dyDescent="0.3">
      <c r="A267" t="s">
        <v>271</v>
      </c>
      <c r="B267" t="s">
        <v>1024</v>
      </c>
      <c r="C267">
        <v>146</v>
      </c>
      <c r="D267" t="s">
        <v>1026</v>
      </c>
      <c r="E267" t="s">
        <v>1086</v>
      </c>
      <c r="F267">
        <v>51</v>
      </c>
      <c r="G267">
        <v>1.4</v>
      </c>
      <c r="H267">
        <f>ROUND(Calls[[#This Row],[Satisfactory Rating]],0)</f>
        <v>1</v>
      </c>
      <c r="I267" t="str" cm="1">
        <f t="array" ref="I267">_xlfn.IFS(Calls[[#This Row],[Duration (Min)]]&lt;=30,"Under 30 mins",Calls[[#This Row],[Duration (Min)]]&lt;=60,"Under 1h",Calls[[#This Row],[Duration (Min)]]&lt;=120,"Under 2",TRUE,"More than 2h")</f>
        <v>More than 2h</v>
      </c>
      <c r="J267">
        <f>IF(MONTH(Calls[[#This Row],[Date of Call]])&lt;=3,YEAR(Calls[[#This Row],[Date of Call]]),YEAR(Calls[[#This Row],[Date of Call]])+1)</f>
        <v>2025</v>
      </c>
      <c r="K267" t="str">
        <f>TEXT(Calls[[#This Row],[Date of Call]],"dddd")</f>
        <v>Sunday</v>
      </c>
      <c r="L267" t="str">
        <f>TEXT(Calls[[#This Row],[Date of Call]],"mmm")</f>
        <v>Feb</v>
      </c>
    </row>
    <row r="268" spans="1:12" x14ac:dyDescent="0.3">
      <c r="A268" t="s">
        <v>272</v>
      </c>
      <c r="B268" t="s">
        <v>1019</v>
      </c>
      <c r="C268">
        <v>95</v>
      </c>
      <c r="D268" t="s">
        <v>1029</v>
      </c>
      <c r="E268" t="s">
        <v>1086</v>
      </c>
      <c r="F268">
        <v>32</v>
      </c>
      <c r="G268">
        <v>2.4</v>
      </c>
      <c r="H268">
        <f>ROUND(Calls[[#This Row],[Satisfactory Rating]],0)</f>
        <v>2</v>
      </c>
      <c r="I268" t="str" cm="1">
        <f t="array" ref="I268">_xlfn.IFS(Calls[[#This Row],[Duration (Min)]]&lt;=30,"Under 30 mins",Calls[[#This Row],[Duration (Min)]]&lt;=60,"Under 1h",Calls[[#This Row],[Duration (Min)]]&lt;=120,"Under 2",TRUE,"More than 2h")</f>
        <v>Under 2</v>
      </c>
      <c r="J268">
        <f>IF(MONTH(Calls[[#This Row],[Date of Call]])&lt;=3,YEAR(Calls[[#This Row],[Date of Call]]),YEAR(Calls[[#This Row],[Date of Call]])+1)</f>
        <v>2025</v>
      </c>
      <c r="K268" t="str">
        <f>TEXT(Calls[[#This Row],[Date of Call]],"dddd")</f>
        <v>Sunday</v>
      </c>
      <c r="L268" t="str">
        <f>TEXT(Calls[[#This Row],[Date of Call]],"mmm")</f>
        <v>Feb</v>
      </c>
    </row>
    <row r="269" spans="1:12" x14ac:dyDescent="0.3">
      <c r="A269" t="s">
        <v>273</v>
      </c>
      <c r="B269" t="s">
        <v>1009</v>
      </c>
      <c r="C269">
        <v>42</v>
      </c>
      <c r="D269" t="s">
        <v>1029</v>
      </c>
      <c r="E269" t="s">
        <v>1086</v>
      </c>
      <c r="F269">
        <v>43</v>
      </c>
      <c r="G269">
        <v>2.6</v>
      </c>
      <c r="H269">
        <f>ROUND(Calls[[#This Row],[Satisfactory Rating]],0)</f>
        <v>3</v>
      </c>
      <c r="I269" t="str" cm="1">
        <f t="array" ref="I269">_xlfn.IFS(Calls[[#This Row],[Duration (Min)]]&lt;=30,"Under 30 mins",Calls[[#This Row],[Duration (Min)]]&lt;=60,"Under 1h",Calls[[#This Row],[Duration (Min)]]&lt;=120,"Under 2",TRUE,"More than 2h")</f>
        <v>Under 1h</v>
      </c>
      <c r="J269">
        <f>IF(MONTH(Calls[[#This Row],[Date of Call]])&lt;=3,YEAR(Calls[[#This Row],[Date of Call]]),YEAR(Calls[[#This Row],[Date of Call]])+1)</f>
        <v>2025</v>
      </c>
      <c r="K269" t="str">
        <f>TEXT(Calls[[#This Row],[Date of Call]],"dddd")</f>
        <v>Sunday</v>
      </c>
      <c r="L269" t="str">
        <f>TEXT(Calls[[#This Row],[Date of Call]],"mmm")</f>
        <v>Feb</v>
      </c>
    </row>
    <row r="270" spans="1:12" x14ac:dyDescent="0.3">
      <c r="A270" t="s">
        <v>274</v>
      </c>
      <c r="B270" t="s">
        <v>1023</v>
      </c>
      <c r="C270">
        <v>93</v>
      </c>
      <c r="D270" t="s">
        <v>1028</v>
      </c>
      <c r="E270" t="s">
        <v>1086</v>
      </c>
      <c r="F270">
        <v>105</v>
      </c>
      <c r="G270">
        <v>4.9000000000000004</v>
      </c>
      <c r="H270">
        <f>ROUND(Calls[[#This Row],[Satisfactory Rating]],0)</f>
        <v>5</v>
      </c>
      <c r="I270" t="str" cm="1">
        <f t="array" ref="I270">_xlfn.IFS(Calls[[#This Row],[Duration (Min)]]&lt;=30,"Under 30 mins",Calls[[#This Row],[Duration (Min)]]&lt;=60,"Under 1h",Calls[[#This Row],[Duration (Min)]]&lt;=120,"Under 2",TRUE,"More than 2h")</f>
        <v>Under 2</v>
      </c>
      <c r="J270">
        <f>IF(MONTH(Calls[[#This Row],[Date of Call]])&lt;=3,YEAR(Calls[[#This Row],[Date of Call]]),YEAR(Calls[[#This Row],[Date of Call]])+1)</f>
        <v>2025</v>
      </c>
      <c r="K270" t="str">
        <f>TEXT(Calls[[#This Row],[Date of Call]],"dddd")</f>
        <v>Sunday</v>
      </c>
      <c r="L270" t="str">
        <f>TEXT(Calls[[#This Row],[Date of Call]],"mmm")</f>
        <v>Feb</v>
      </c>
    </row>
    <row r="271" spans="1:12" x14ac:dyDescent="0.3">
      <c r="A271" t="s">
        <v>275</v>
      </c>
      <c r="B271" t="s">
        <v>1006</v>
      </c>
      <c r="C271">
        <v>13</v>
      </c>
      <c r="D271" t="s">
        <v>1029</v>
      </c>
      <c r="E271" t="s">
        <v>1086</v>
      </c>
      <c r="F271">
        <v>87</v>
      </c>
      <c r="G271">
        <v>4.7</v>
      </c>
      <c r="H271">
        <f>ROUND(Calls[[#This Row],[Satisfactory Rating]],0)</f>
        <v>5</v>
      </c>
      <c r="I271" t="str" cm="1">
        <f t="array" ref="I271">_xlfn.IFS(Calls[[#This Row],[Duration (Min)]]&lt;=30,"Under 30 mins",Calls[[#This Row],[Duration (Min)]]&lt;=60,"Under 1h",Calls[[#This Row],[Duration (Min)]]&lt;=120,"Under 2",TRUE,"More than 2h")</f>
        <v>Under 30 mins</v>
      </c>
      <c r="J271">
        <f>IF(MONTH(Calls[[#This Row],[Date of Call]])&lt;=3,YEAR(Calls[[#This Row],[Date of Call]]),YEAR(Calls[[#This Row],[Date of Call]])+1)</f>
        <v>2025</v>
      </c>
      <c r="K271" t="str">
        <f>TEXT(Calls[[#This Row],[Date of Call]],"dddd")</f>
        <v>Sunday</v>
      </c>
      <c r="L271" t="str">
        <f>TEXT(Calls[[#This Row],[Date of Call]],"mmm")</f>
        <v>Feb</v>
      </c>
    </row>
    <row r="272" spans="1:12" x14ac:dyDescent="0.3">
      <c r="A272" t="s">
        <v>276</v>
      </c>
      <c r="B272" t="s">
        <v>1010</v>
      </c>
      <c r="C272">
        <v>153</v>
      </c>
      <c r="D272" t="s">
        <v>1026</v>
      </c>
      <c r="E272" t="s">
        <v>1087</v>
      </c>
      <c r="F272">
        <v>29</v>
      </c>
      <c r="G272">
        <v>1.5</v>
      </c>
      <c r="H272">
        <f>ROUND(Calls[[#This Row],[Satisfactory Rating]],0)</f>
        <v>2</v>
      </c>
      <c r="I272" t="str" cm="1">
        <f t="array" ref="I272">_xlfn.IFS(Calls[[#This Row],[Duration (Min)]]&lt;=30,"Under 30 mins",Calls[[#This Row],[Duration (Min)]]&lt;=60,"Under 1h",Calls[[#This Row],[Duration (Min)]]&lt;=120,"Under 2",TRUE,"More than 2h")</f>
        <v>More than 2h</v>
      </c>
      <c r="J272">
        <f>IF(MONTH(Calls[[#This Row],[Date of Call]])&lt;=3,YEAR(Calls[[#This Row],[Date of Call]]),YEAR(Calls[[#This Row],[Date of Call]])+1)</f>
        <v>2025</v>
      </c>
      <c r="K272" t="str">
        <f>TEXT(Calls[[#This Row],[Date of Call]],"dddd")</f>
        <v>Monday</v>
      </c>
      <c r="L272" t="str">
        <f>TEXT(Calls[[#This Row],[Date of Call]],"mmm")</f>
        <v>Feb</v>
      </c>
    </row>
    <row r="273" spans="1:12" x14ac:dyDescent="0.3">
      <c r="A273" t="s">
        <v>277</v>
      </c>
      <c r="B273" t="s">
        <v>1023</v>
      </c>
      <c r="C273">
        <v>61</v>
      </c>
      <c r="D273" t="s">
        <v>1029</v>
      </c>
      <c r="E273" t="s">
        <v>1087</v>
      </c>
      <c r="F273">
        <v>51</v>
      </c>
      <c r="G273">
        <v>1.8</v>
      </c>
      <c r="H273">
        <f>ROUND(Calls[[#This Row],[Satisfactory Rating]],0)</f>
        <v>2</v>
      </c>
      <c r="I273" t="str" cm="1">
        <f t="array" ref="I273">_xlfn.IFS(Calls[[#This Row],[Duration (Min)]]&lt;=30,"Under 30 mins",Calls[[#This Row],[Duration (Min)]]&lt;=60,"Under 1h",Calls[[#This Row],[Duration (Min)]]&lt;=120,"Under 2",TRUE,"More than 2h")</f>
        <v>Under 2</v>
      </c>
      <c r="J273">
        <f>IF(MONTH(Calls[[#This Row],[Date of Call]])&lt;=3,YEAR(Calls[[#This Row],[Date of Call]]),YEAR(Calls[[#This Row],[Date of Call]])+1)</f>
        <v>2025</v>
      </c>
      <c r="K273" t="str">
        <f>TEXT(Calls[[#This Row],[Date of Call]],"dddd")</f>
        <v>Monday</v>
      </c>
      <c r="L273" t="str">
        <f>TEXT(Calls[[#This Row],[Date of Call]],"mmm")</f>
        <v>Feb</v>
      </c>
    </row>
    <row r="274" spans="1:12" x14ac:dyDescent="0.3">
      <c r="A274" t="s">
        <v>278</v>
      </c>
      <c r="B274" t="s">
        <v>1024</v>
      </c>
      <c r="C274">
        <v>15</v>
      </c>
      <c r="D274" t="s">
        <v>1028</v>
      </c>
      <c r="E274" t="s">
        <v>1087</v>
      </c>
      <c r="F274">
        <v>27</v>
      </c>
      <c r="G274">
        <v>3.3</v>
      </c>
      <c r="H274">
        <f>ROUND(Calls[[#This Row],[Satisfactory Rating]],0)</f>
        <v>3</v>
      </c>
      <c r="I274" t="str" cm="1">
        <f t="array" ref="I274">_xlfn.IFS(Calls[[#This Row],[Duration (Min)]]&lt;=30,"Under 30 mins",Calls[[#This Row],[Duration (Min)]]&lt;=60,"Under 1h",Calls[[#This Row],[Duration (Min)]]&lt;=120,"Under 2",TRUE,"More than 2h")</f>
        <v>Under 30 mins</v>
      </c>
      <c r="J274">
        <f>IF(MONTH(Calls[[#This Row],[Date of Call]])&lt;=3,YEAR(Calls[[#This Row],[Date of Call]]),YEAR(Calls[[#This Row],[Date of Call]])+1)</f>
        <v>2025</v>
      </c>
      <c r="K274" t="str">
        <f>TEXT(Calls[[#This Row],[Date of Call]],"dddd")</f>
        <v>Monday</v>
      </c>
      <c r="L274" t="str">
        <f>TEXT(Calls[[#This Row],[Date of Call]],"mmm")</f>
        <v>Feb</v>
      </c>
    </row>
    <row r="275" spans="1:12" x14ac:dyDescent="0.3">
      <c r="A275" t="s">
        <v>279</v>
      </c>
      <c r="B275" t="s">
        <v>1025</v>
      </c>
      <c r="C275">
        <v>36</v>
      </c>
      <c r="D275" t="s">
        <v>1032</v>
      </c>
      <c r="E275" t="s">
        <v>1087</v>
      </c>
      <c r="F275">
        <v>69</v>
      </c>
      <c r="G275">
        <v>1.3</v>
      </c>
      <c r="H275">
        <f>ROUND(Calls[[#This Row],[Satisfactory Rating]],0)</f>
        <v>1</v>
      </c>
      <c r="I275" t="str" cm="1">
        <f t="array" ref="I275">_xlfn.IFS(Calls[[#This Row],[Duration (Min)]]&lt;=30,"Under 30 mins",Calls[[#This Row],[Duration (Min)]]&lt;=60,"Under 1h",Calls[[#This Row],[Duration (Min)]]&lt;=120,"Under 2",TRUE,"More than 2h")</f>
        <v>Under 1h</v>
      </c>
      <c r="J275">
        <f>IF(MONTH(Calls[[#This Row],[Date of Call]])&lt;=3,YEAR(Calls[[#This Row],[Date of Call]]),YEAR(Calls[[#This Row],[Date of Call]])+1)</f>
        <v>2025</v>
      </c>
      <c r="K275" t="str">
        <f>TEXT(Calls[[#This Row],[Date of Call]],"dddd")</f>
        <v>Monday</v>
      </c>
      <c r="L275" t="str">
        <f>TEXT(Calls[[#This Row],[Date of Call]],"mmm")</f>
        <v>Feb</v>
      </c>
    </row>
    <row r="276" spans="1:12" x14ac:dyDescent="0.3">
      <c r="A276" t="s">
        <v>280</v>
      </c>
      <c r="B276" t="s">
        <v>1025</v>
      </c>
      <c r="C276">
        <v>87</v>
      </c>
      <c r="D276" t="s">
        <v>1032</v>
      </c>
      <c r="E276" t="s">
        <v>1087</v>
      </c>
      <c r="F276">
        <v>43</v>
      </c>
      <c r="G276">
        <v>3.6</v>
      </c>
      <c r="H276">
        <f>ROUND(Calls[[#This Row],[Satisfactory Rating]],0)</f>
        <v>4</v>
      </c>
      <c r="I276" t="str" cm="1">
        <f t="array" ref="I276">_xlfn.IFS(Calls[[#This Row],[Duration (Min)]]&lt;=30,"Under 30 mins",Calls[[#This Row],[Duration (Min)]]&lt;=60,"Under 1h",Calls[[#This Row],[Duration (Min)]]&lt;=120,"Under 2",TRUE,"More than 2h")</f>
        <v>Under 2</v>
      </c>
      <c r="J276">
        <f>IF(MONTH(Calls[[#This Row],[Date of Call]])&lt;=3,YEAR(Calls[[#This Row],[Date of Call]]),YEAR(Calls[[#This Row],[Date of Call]])+1)</f>
        <v>2025</v>
      </c>
      <c r="K276" t="str">
        <f>TEXT(Calls[[#This Row],[Date of Call]],"dddd")</f>
        <v>Monday</v>
      </c>
      <c r="L276" t="str">
        <f>TEXT(Calls[[#This Row],[Date of Call]],"mmm")</f>
        <v>Feb</v>
      </c>
    </row>
    <row r="277" spans="1:12" x14ac:dyDescent="0.3">
      <c r="A277" t="s">
        <v>281</v>
      </c>
      <c r="B277" t="s">
        <v>1009</v>
      </c>
      <c r="C277">
        <v>13</v>
      </c>
      <c r="D277" t="s">
        <v>1027</v>
      </c>
      <c r="E277" t="s">
        <v>1088</v>
      </c>
      <c r="F277">
        <v>42</v>
      </c>
      <c r="G277">
        <v>1.1000000000000001</v>
      </c>
      <c r="H277">
        <f>ROUND(Calls[[#This Row],[Satisfactory Rating]],0)</f>
        <v>1</v>
      </c>
      <c r="I277" t="str" cm="1">
        <f t="array" ref="I277">_xlfn.IFS(Calls[[#This Row],[Duration (Min)]]&lt;=30,"Under 30 mins",Calls[[#This Row],[Duration (Min)]]&lt;=60,"Under 1h",Calls[[#This Row],[Duration (Min)]]&lt;=120,"Under 2",TRUE,"More than 2h")</f>
        <v>Under 30 mins</v>
      </c>
      <c r="J277">
        <f>IF(MONTH(Calls[[#This Row],[Date of Call]])&lt;=3,YEAR(Calls[[#This Row],[Date of Call]]),YEAR(Calls[[#This Row],[Date of Call]])+1)</f>
        <v>2025</v>
      </c>
      <c r="K277" t="str">
        <f>TEXT(Calls[[#This Row],[Date of Call]],"dddd")</f>
        <v>Tuesday</v>
      </c>
      <c r="L277" t="str">
        <f>TEXT(Calls[[#This Row],[Date of Call]],"mmm")</f>
        <v>Feb</v>
      </c>
    </row>
    <row r="278" spans="1:12" x14ac:dyDescent="0.3">
      <c r="A278" t="s">
        <v>282</v>
      </c>
      <c r="B278" t="s">
        <v>1021</v>
      </c>
      <c r="C278">
        <v>44</v>
      </c>
      <c r="D278" t="s">
        <v>1031</v>
      </c>
      <c r="E278" t="s">
        <v>1088</v>
      </c>
      <c r="F278">
        <v>120</v>
      </c>
      <c r="G278">
        <v>2.9</v>
      </c>
      <c r="H278">
        <f>ROUND(Calls[[#This Row],[Satisfactory Rating]],0)</f>
        <v>3</v>
      </c>
      <c r="I278" t="str" cm="1">
        <f t="array" ref="I278">_xlfn.IFS(Calls[[#This Row],[Duration (Min)]]&lt;=30,"Under 30 mins",Calls[[#This Row],[Duration (Min)]]&lt;=60,"Under 1h",Calls[[#This Row],[Duration (Min)]]&lt;=120,"Under 2",TRUE,"More than 2h")</f>
        <v>Under 1h</v>
      </c>
      <c r="J278">
        <f>IF(MONTH(Calls[[#This Row],[Date of Call]])&lt;=3,YEAR(Calls[[#This Row],[Date of Call]]),YEAR(Calls[[#This Row],[Date of Call]])+1)</f>
        <v>2025</v>
      </c>
      <c r="K278" t="str">
        <f>TEXT(Calls[[#This Row],[Date of Call]],"dddd")</f>
        <v>Tuesday</v>
      </c>
      <c r="L278" t="str">
        <f>TEXT(Calls[[#This Row],[Date of Call]],"mmm")</f>
        <v>Feb</v>
      </c>
    </row>
    <row r="279" spans="1:12" x14ac:dyDescent="0.3">
      <c r="A279" t="s">
        <v>283</v>
      </c>
      <c r="B279" t="s">
        <v>1020</v>
      </c>
      <c r="C279">
        <v>57</v>
      </c>
      <c r="D279" t="s">
        <v>1031</v>
      </c>
      <c r="E279" t="s">
        <v>1088</v>
      </c>
      <c r="F279">
        <v>118</v>
      </c>
      <c r="G279">
        <v>4.3</v>
      </c>
      <c r="H279">
        <f>ROUND(Calls[[#This Row],[Satisfactory Rating]],0)</f>
        <v>4</v>
      </c>
      <c r="I279" t="str" cm="1">
        <f t="array" ref="I279">_xlfn.IFS(Calls[[#This Row],[Duration (Min)]]&lt;=30,"Under 30 mins",Calls[[#This Row],[Duration (Min)]]&lt;=60,"Under 1h",Calls[[#This Row],[Duration (Min)]]&lt;=120,"Under 2",TRUE,"More than 2h")</f>
        <v>Under 1h</v>
      </c>
      <c r="J279">
        <f>IF(MONTH(Calls[[#This Row],[Date of Call]])&lt;=3,YEAR(Calls[[#This Row],[Date of Call]]),YEAR(Calls[[#This Row],[Date of Call]])+1)</f>
        <v>2025</v>
      </c>
      <c r="K279" t="str">
        <f>TEXT(Calls[[#This Row],[Date of Call]],"dddd")</f>
        <v>Tuesday</v>
      </c>
      <c r="L279" t="str">
        <f>TEXT(Calls[[#This Row],[Date of Call]],"mmm")</f>
        <v>Feb</v>
      </c>
    </row>
    <row r="280" spans="1:12" x14ac:dyDescent="0.3">
      <c r="A280" t="s">
        <v>284</v>
      </c>
      <c r="B280" t="s">
        <v>1025</v>
      </c>
      <c r="C280">
        <v>160</v>
      </c>
      <c r="D280" t="s">
        <v>1030</v>
      </c>
      <c r="E280" t="s">
        <v>1088</v>
      </c>
      <c r="F280">
        <v>41</v>
      </c>
      <c r="G280">
        <v>3.9</v>
      </c>
      <c r="H280">
        <f>ROUND(Calls[[#This Row],[Satisfactory Rating]],0)</f>
        <v>4</v>
      </c>
      <c r="I280" t="str" cm="1">
        <f t="array" ref="I280">_xlfn.IFS(Calls[[#This Row],[Duration (Min)]]&lt;=30,"Under 30 mins",Calls[[#This Row],[Duration (Min)]]&lt;=60,"Under 1h",Calls[[#This Row],[Duration (Min)]]&lt;=120,"Under 2",TRUE,"More than 2h")</f>
        <v>More than 2h</v>
      </c>
      <c r="J280">
        <f>IF(MONTH(Calls[[#This Row],[Date of Call]])&lt;=3,YEAR(Calls[[#This Row],[Date of Call]]),YEAR(Calls[[#This Row],[Date of Call]])+1)</f>
        <v>2025</v>
      </c>
      <c r="K280" t="str">
        <f>TEXT(Calls[[#This Row],[Date of Call]],"dddd")</f>
        <v>Tuesday</v>
      </c>
      <c r="L280" t="str">
        <f>TEXT(Calls[[#This Row],[Date of Call]],"mmm")</f>
        <v>Feb</v>
      </c>
    </row>
    <row r="281" spans="1:12" x14ac:dyDescent="0.3">
      <c r="A281" t="s">
        <v>285</v>
      </c>
      <c r="B281" t="s">
        <v>1010</v>
      </c>
      <c r="C281">
        <v>111</v>
      </c>
      <c r="D281" t="s">
        <v>1026</v>
      </c>
      <c r="E281" t="s">
        <v>1088</v>
      </c>
      <c r="F281">
        <v>69</v>
      </c>
      <c r="G281">
        <v>1.7</v>
      </c>
      <c r="H281">
        <f>ROUND(Calls[[#This Row],[Satisfactory Rating]],0)</f>
        <v>2</v>
      </c>
      <c r="I281" t="str" cm="1">
        <f t="array" ref="I281">_xlfn.IFS(Calls[[#This Row],[Duration (Min)]]&lt;=30,"Under 30 mins",Calls[[#This Row],[Duration (Min)]]&lt;=60,"Under 1h",Calls[[#This Row],[Duration (Min)]]&lt;=120,"Under 2",TRUE,"More than 2h")</f>
        <v>Under 2</v>
      </c>
      <c r="J281">
        <f>IF(MONTH(Calls[[#This Row],[Date of Call]])&lt;=3,YEAR(Calls[[#This Row],[Date of Call]]),YEAR(Calls[[#This Row],[Date of Call]])+1)</f>
        <v>2025</v>
      </c>
      <c r="K281" t="str">
        <f>TEXT(Calls[[#This Row],[Date of Call]],"dddd")</f>
        <v>Tuesday</v>
      </c>
      <c r="L281" t="str">
        <f>TEXT(Calls[[#This Row],[Date of Call]],"mmm")</f>
        <v>Feb</v>
      </c>
    </row>
    <row r="282" spans="1:12" x14ac:dyDescent="0.3">
      <c r="A282" t="s">
        <v>286</v>
      </c>
      <c r="B282" t="s">
        <v>1008</v>
      </c>
      <c r="C282">
        <v>82</v>
      </c>
      <c r="D282" t="s">
        <v>1027</v>
      </c>
      <c r="E282" t="s">
        <v>1089</v>
      </c>
      <c r="F282">
        <v>114</v>
      </c>
      <c r="G282">
        <v>1.6</v>
      </c>
      <c r="H282">
        <f>ROUND(Calls[[#This Row],[Satisfactory Rating]],0)</f>
        <v>2</v>
      </c>
      <c r="I282" t="str" cm="1">
        <f t="array" ref="I282">_xlfn.IFS(Calls[[#This Row],[Duration (Min)]]&lt;=30,"Under 30 mins",Calls[[#This Row],[Duration (Min)]]&lt;=60,"Under 1h",Calls[[#This Row],[Duration (Min)]]&lt;=120,"Under 2",TRUE,"More than 2h")</f>
        <v>Under 2</v>
      </c>
      <c r="J282">
        <f>IF(MONTH(Calls[[#This Row],[Date of Call]])&lt;=3,YEAR(Calls[[#This Row],[Date of Call]]),YEAR(Calls[[#This Row],[Date of Call]])+1)</f>
        <v>2025</v>
      </c>
      <c r="K282" t="str">
        <f>TEXT(Calls[[#This Row],[Date of Call]],"dddd")</f>
        <v>Wednesday</v>
      </c>
      <c r="L282" t="str">
        <f>TEXT(Calls[[#This Row],[Date of Call]],"mmm")</f>
        <v>Feb</v>
      </c>
    </row>
    <row r="283" spans="1:12" x14ac:dyDescent="0.3">
      <c r="A283" t="s">
        <v>287</v>
      </c>
      <c r="B283" t="s">
        <v>1008</v>
      </c>
      <c r="C283">
        <v>62</v>
      </c>
      <c r="D283" t="s">
        <v>1030</v>
      </c>
      <c r="E283" t="s">
        <v>1089</v>
      </c>
      <c r="F283">
        <v>121</v>
      </c>
      <c r="G283">
        <v>2.2999999999999998</v>
      </c>
      <c r="H283">
        <f>ROUND(Calls[[#This Row],[Satisfactory Rating]],0)</f>
        <v>2</v>
      </c>
      <c r="I283" t="str" cm="1">
        <f t="array" ref="I283">_xlfn.IFS(Calls[[#This Row],[Duration (Min)]]&lt;=30,"Under 30 mins",Calls[[#This Row],[Duration (Min)]]&lt;=60,"Under 1h",Calls[[#This Row],[Duration (Min)]]&lt;=120,"Under 2",TRUE,"More than 2h")</f>
        <v>Under 2</v>
      </c>
      <c r="J283">
        <f>IF(MONTH(Calls[[#This Row],[Date of Call]])&lt;=3,YEAR(Calls[[#This Row],[Date of Call]]),YEAR(Calls[[#This Row],[Date of Call]])+1)</f>
        <v>2025</v>
      </c>
      <c r="K283" t="str">
        <f>TEXT(Calls[[#This Row],[Date of Call]],"dddd")</f>
        <v>Wednesday</v>
      </c>
      <c r="L283" t="str">
        <f>TEXT(Calls[[#This Row],[Date of Call]],"mmm")</f>
        <v>Feb</v>
      </c>
    </row>
    <row r="284" spans="1:12" x14ac:dyDescent="0.3">
      <c r="A284" t="s">
        <v>288</v>
      </c>
      <c r="B284" t="s">
        <v>1019</v>
      </c>
      <c r="C284">
        <v>16</v>
      </c>
      <c r="D284" t="s">
        <v>1029</v>
      </c>
      <c r="E284" t="s">
        <v>1089</v>
      </c>
      <c r="F284">
        <v>54</v>
      </c>
      <c r="G284">
        <v>2.5</v>
      </c>
      <c r="H284">
        <f>ROUND(Calls[[#This Row],[Satisfactory Rating]],0)</f>
        <v>3</v>
      </c>
      <c r="I284" t="str" cm="1">
        <f t="array" ref="I284">_xlfn.IFS(Calls[[#This Row],[Duration (Min)]]&lt;=30,"Under 30 mins",Calls[[#This Row],[Duration (Min)]]&lt;=60,"Under 1h",Calls[[#This Row],[Duration (Min)]]&lt;=120,"Under 2",TRUE,"More than 2h")</f>
        <v>Under 30 mins</v>
      </c>
      <c r="J284">
        <f>IF(MONTH(Calls[[#This Row],[Date of Call]])&lt;=3,YEAR(Calls[[#This Row],[Date of Call]]),YEAR(Calls[[#This Row],[Date of Call]])+1)</f>
        <v>2025</v>
      </c>
      <c r="K284" t="str">
        <f>TEXT(Calls[[#This Row],[Date of Call]],"dddd")</f>
        <v>Wednesday</v>
      </c>
      <c r="L284" t="str">
        <f>TEXT(Calls[[#This Row],[Date of Call]],"mmm")</f>
        <v>Feb</v>
      </c>
    </row>
    <row r="285" spans="1:12" x14ac:dyDescent="0.3">
      <c r="A285" t="s">
        <v>289</v>
      </c>
      <c r="B285" t="s">
        <v>1007</v>
      </c>
      <c r="C285">
        <v>10</v>
      </c>
      <c r="D285" t="s">
        <v>1028</v>
      </c>
      <c r="E285" t="s">
        <v>1089</v>
      </c>
      <c r="F285">
        <v>137</v>
      </c>
      <c r="G285">
        <v>1.9</v>
      </c>
      <c r="H285">
        <f>ROUND(Calls[[#This Row],[Satisfactory Rating]],0)</f>
        <v>2</v>
      </c>
      <c r="I285" t="str" cm="1">
        <f t="array" ref="I285">_xlfn.IFS(Calls[[#This Row],[Duration (Min)]]&lt;=30,"Under 30 mins",Calls[[#This Row],[Duration (Min)]]&lt;=60,"Under 1h",Calls[[#This Row],[Duration (Min)]]&lt;=120,"Under 2",TRUE,"More than 2h")</f>
        <v>Under 30 mins</v>
      </c>
      <c r="J285">
        <f>IF(MONTH(Calls[[#This Row],[Date of Call]])&lt;=3,YEAR(Calls[[#This Row],[Date of Call]]),YEAR(Calls[[#This Row],[Date of Call]])+1)</f>
        <v>2025</v>
      </c>
      <c r="K285" t="str">
        <f>TEXT(Calls[[#This Row],[Date of Call]],"dddd")</f>
        <v>Wednesday</v>
      </c>
      <c r="L285" t="str">
        <f>TEXT(Calls[[#This Row],[Date of Call]],"mmm")</f>
        <v>Feb</v>
      </c>
    </row>
    <row r="286" spans="1:12" x14ac:dyDescent="0.3">
      <c r="A286" t="s">
        <v>290</v>
      </c>
      <c r="B286" t="s">
        <v>1009</v>
      </c>
      <c r="C286">
        <v>67</v>
      </c>
      <c r="D286" t="s">
        <v>1028</v>
      </c>
      <c r="E286" t="s">
        <v>1089</v>
      </c>
      <c r="F286">
        <v>53</v>
      </c>
      <c r="G286">
        <v>2.7</v>
      </c>
      <c r="H286">
        <f>ROUND(Calls[[#This Row],[Satisfactory Rating]],0)</f>
        <v>3</v>
      </c>
      <c r="I286" t="str" cm="1">
        <f t="array" ref="I286">_xlfn.IFS(Calls[[#This Row],[Duration (Min)]]&lt;=30,"Under 30 mins",Calls[[#This Row],[Duration (Min)]]&lt;=60,"Under 1h",Calls[[#This Row],[Duration (Min)]]&lt;=120,"Under 2",TRUE,"More than 2h")</f>
        <v>Under 2</v>
      </c>
      <c r="J286">
        <f>IF(MONTH(Calls[[#This Row],[Date of Call]])&lt;=3,YEAR(Calls[[#This Row],[Date of Call]]),YEAR(Calls[[#This Row],[Date of Call]])+1)</f>
        <v>2025</v>
      </c>
      <c r="K286" t="str">
        <f>TEXT(Calls[[#This Row],[Date of Call]],"dddd")</f>
        <v>Wednesday</v>
      </c>
      <c r="L286" t="str">
        <f>TEXT(Calls[[#This Row],[Date of Call]],"mmm")</f>
        <v>Feb</v>
      </c>
    </row>
    <row r="287" spans="1:12" x14ac:dyDescent="0.3">
      <c r="A287" t="s">
        <v>291</v>
      </c>
      <c r="B287" t="s">
        <v>1008</v>
      </c>
      <c r="C287">
        <v>115</v>
      </c>
      <c r="D287" t="s">
        <v>1031</v>
      </c>
      <c r="E287" t="s">
        <v>1090</v>
      </c>
      <c r="F287">
        <v>78</v>
      </c>
      <c r="G287">
        <v>4.7</v>
      </c>
      <c r="H287">
        <f>ROUND(Calls[[#This Row],[Satisfactory Rating]],0)</f>
        <v>5</v>
      </c>
      <c r="I287" t="str" cm="1">
        <f t="array" ref="I287">_xlfn.IFS(Calls[[#This Row],[Duration (Min)]]&lt;=30,"Under 30 mins",Calls[[#This Row],[Duration (Min)]]&lt;=60,"Under 1h",Calls[[#This Row],[Duration (Min)]]&lt;=120,"Under 2",TRUE,"More than 2h")</f>
        <v>Under 2</v>
      </c>
      <c r="J287">
        <f>IF(MONTH(Calls[[#This Row],[Date of Call]])&lt;=3,YEAR(Calls[[#This Row],[Date of Call]]),YEAR(Calls[[#This Row],[Date of Call]])+1)</f>
        <v>2025</v>
      </c>
      <c r="K287" t="str">
        <f>TEXT(Calls[[#This Row],[Date of Call]],"dddd")</f>
        <v>Thursday</v>
      </c>
      <c r="L287" t="str">
        <f>TEXT(Calls[[#This Row],[Date of Call]],"mmm")</f>
        <v>Feb</v>
      </c>
    </row>
    <row r="288" spans="1:12" x14ac:dyDescent="0.3">
      <c r="A288" t="s">
        <v>292</v>
      </c>
      <c r="B288" t="s">
        <v>1014</v>
      </c>
      <c r="C288">
        <v>19</v>
      </c>
      <c r="D288" t="s">
        <v>1027</v>
      </c>
      <c r="E288" t="s">
        <v>1090</v>
      </c>
      <c r="F288">
        <v>129</v>
      </c>
      <c r="G288">
        <v>2.2999999999999998</v>
      </c>
      <c r="H288">
        <f>ROUND(Calls[[#This Row],[Satisfactory Rating]],0)</f>
        <v>2</v>
      </c>
      <c r="I288" t="str" cm="1">
        <f t="array" ref="I288">_xlfn.IFS(Calls[[#This Row],[Duration (Min)]]&lt;=30,"Under 30 mins",Calls[[#This Row],[Duration (Min)]]&lt;=60,"Under 1h",Calls[[#This Row],[Duration (Min)]]&lt;=120,"Under 2",TRUE,"More than 2h")</f>
        <v>Under 30 mins</v>
      </c>
      <c r="J288">
        <f>IF(MONTH(Calls[[#This Row],[Date of Call]])&lt;=3,YEAR(Calls[[#This Row],[Date of Call]]),YEAR(Calls[[#This Row],[Date of Call]])+1)</f>
        <v>2025</v>
      </c>
      <c r="K288" t="str">
        <f>TEXT(Calls[[#This Row],[Date of Call]],"dddd")</f>
        <v>Thursday</v>
      </c>
      <c r="L288" t="str">
        <f>TEXT(Calls[[#This Row],[Date of Call]],"mmm")</f>
        <v>Feb</v>
      </c>
    </row>
    <row r="289" spans="1:12" x14ac:dyDescent="0.3">
      <c r="A289" t="s">
        <v>293</v>
      </c>
      <c r="B289" t="s">
        <v>1007</v>
      </c>
      <c r="C289">
        <v>160</v>
      </c>
      <c r="D289" t="s">
        <v>1026</v>
      </c>
      <c r="E289" t="s">
        <v>1090</v>
      </c>
      <c r="F289">
        <v>92</v>
      </c>
      <c r="G289">
        <v>3.1</v>
      </c>
      <c r="H289">
        <f>ROUND(Calls[[#This Row],[Satisfactory Rating]],0)</f>
        <v>3</v>
      </c>
      <c r="I289" t="str" cm="1">
        <f t="array" ref="I289">_xlfn.IFS(Calls[[#This Row],[Duration (Min)]]&lt;=30,"Under 30 mins",Calls[[#This Row],[Duration (Min)]]&lt;=60,"Under 1h",Calls[[#This Row],[Duration (Min)]]&lt;=120,"Under 2",TRUE,"More than 2h")</f>
        <v>More than 2h</v>
      </c>
      <c r="J289">
        <f>IF(MONTH(Calls[[#This Row],[Date of Call]])&lt;=3,YEAR(Calls[[#This Row],[Date of Call]]),YEAR(Calls[[#This Row],[Date of Call]])+1)</f>
        <v>2025</v>
      </c>
      <c r="K289" t="str">
        <f>TEXT(Calls[[#This Row],[Date of Call]],"dddd")</f>
        <v>Thursday</v>
      </c>
      <c r="L289" t="str">
        <f>TEXT(Calls[[#This Row],[Date of Call]],"mmm")</f>
        <v>Feb</v>
      </c>
    </row>
    <row r="290" spans="1:12" x14ac:dyDescent="0.3">
      <c r="A290" t="s">
        <v>294</v>
      </c>
      <c r="B290" t="s">
        <v>1013</v>
      </c>
      <c r="C290">
        <v>84</v>
      </c>
      <c r="D290" t="s">
        <v>1028</v>
      </c>
      <c r="E290" t="s">
        <v>1090</v>
      </c>
      <c r="F290">
        <v>104</v>
      </c>
      <c r="G290">
        <v>3.2</v>
      </c>
      <c r="H290">
        <f>ROUND(Calls[[#This Row],[Satisfactory Rating]],0)</f>
        <v>3</v>
      </c>
      <c r="I290" t="str" cm="1">
        <f t="array" ref="I290">_xlfn.IFS(Calls[[#This Row],[Duration (Min)]]&lt;=30,"Under 30 mins",Calls[[#This Row],[Duration (Min)]]&lt;=60,"Under 1h",Calls[[#This Row],[Duration (Min)]]&lt;=120,"Under 2",TRUE,"More than 2h")</f>
        <v>Under 2</v>
      </c>
      <c r="J290">
        <f>IF(MONTH(Calls[[#This Row],[Date of Call]])&lt;=3,YEAR(Calls[[#This Row],[Date of Call]]),YEAR(Calls[[#This Row],[Date of Call]])+1)</f>
        <v>2025</v>
      </c>
      <c r="K290" t="str">
        <f>TEXT(Calls[[#This Row],[Date of Call]],"dddd")</f>
        <v>Thursday</v>
      </c>
      <c r="L290" t="str">
        <f>TEXT(Calls[[#This Row],[Date of Call]],"mmm")</f>
        <v>Feb</v>
      </c>
    </row>
    <row r="291" spans="1:12" x14ac:dyDescent="0.3">
      <c r="A291" t="s">
        <v>295</v>
      </c>
      <c r="B291" t="s">
        <v>1010</v>
      </c>
      <c r="C291">
        <v>44</v>
      </c>
      <c r="D291" t="s">
        <v>1026</v>
      </c>
      <c r="E291" t="s">
        <v>1090</v>
      </c>
      <c r="F291">
        <v>127</v>
      </c>
      <c r="G291">
        <v>1.1000000000000001</v>
      </c>
      <c r="H291">
        <f>ROUND(Calls[[#This Row],[Satisfactory Rating]],0)</f>
        <v>1</v>
      </c>
      <c r="I291" t="str" cm="1">
        <f t="array" ref="I291">_xlfn.IFS(Calls[[#This Row],[Duration (Min)]]&lt;=30,"Under 30 mins",Calls[[#This Row],[Duration (Min)]]&lt;=60,"Under 1h",Calls[[#This Row],[Duration (Min)]]&lt;=120,"Under 2",TRUE,"More than 2h")</f>
        <v>Under 1h</v>
      </c>
      <c r="J291">
        <f>IF(MONTH(Calls[[#This Row],[Date of Call]])&lt;=3,YEAR(Calls[[#This Row],[Date of Call]]),YEAR(Calls[[#This Row],[Date of Call]])+1)</f>
        <v>2025</v>
      </c>
      <c r="K291" t="str">
        <f>TEXT(Calls[[#This Row],[Date of Call]],"dddd")</f>
        <v>Thursday</v>
      </c>
      <c r="L291" t="str">
        <f>TEXT(Calls[[#This Row],[Date of Call]],"mmm")</f>
        <v>Feb</v>
      </c>
    </row>
    <row r="292" spans="1:12" x14ac:dyDescent="0.3">
      <c r="A292" t="s">
        <v>296</v>
      </c>
      <c r="B292" t="s">
        <v>1019</v>
      </c>
      <c r="C292">
        <v>84</v>
      </c>
      <c r="D292" t="s">
        <v>1027</v>
      </c>
      <c r="E292" t="s">
        <v>1091</v>
      </c>
      <c r="F292">
        <v>126</v>
      </c>
      <c r="G292">
        <v>2</v>
      </c>
      <c r="H292">
        <f>ROUND(Calls[[#This Row],[Satisfactory Rating]],0)</f>
        <v>2</v>
      </c>
      <c r="I292" t="str" cm="1">
        <f t="array" ref="I292">_xlfn.IFS(Calls[[#This Row],[Duration (Min)]]&lt;=30,"Under 30 mins",Calls[[#This Row],[Duration (Min)]]&lt;=60,"Under 1h",Calls[[#This Row],[Duration (Min)]]&lt;=120,"Under 2",TRUE,"More than 2h")</f>
        <v>Under 2</v>
      </c>
      <c r="J292">
        <f>IF(MONTH(Calls[[#This Row],[Date of Call]])&lt;=3,YEAR(Calls[[#This Row],[Date of Call]]),YEAR(Calls[[#This Row],[Date of Call]])+1)</f>
        <v>2025</v>
      </c>
      <c r="K292" t="str">
        <f>TEXT(Calls[[#This Row],[Date of Call]],"dddd")</f>
        <v>Friday</v>
      </c>
      <c r="L292" t="str">
        <f>TEXT(Calls[[#This Row],[Date of Call]],"mmm")</f>
        <v>Feb</v>
      </c>
    </row>
    <row r="293" spans="1:12" x14ac:dyDescent="0.3">
      <c r="A293" t="s">
        <v>297</v>
      </c>
      <c r="B293" t="s">
        <v>1021</v>
      </c>
      <c r="C293">
        <v>152</v>
      </c>
      <c r="D293" t="s">
        <v>1026</v>
      </c>
      <c r="E293" t="s">
        <v>1091</v>
      </c>
      <c r="F293">
        <v>83</v>
      </c>
      <c r="G293">
        <v>3.7</v>
      </c>
      <c r="H293">
        <f>ROUND(Calls[[#This Row],[Satisfactory Rating]],0)</f>
        <v>4</v>
      </c>
      <c r="I293" t="str" cm="1">
        <f t="array" ref="I293">_xlfn.IFS(Calls[[#This Row],[Duration (Min)]]&lt;=30,"Under 30 mins",Calls[[#This Row],[Duration (Min)]]&lt;=60,"Under 1h",Calls[[#This Row],[Duration (Min)]]&lt;=120,"Under 2",TRUE,"More than 2h")</f>
        <v>More than 2h</v>
      </c>
      <c r="J293">
        <f>IF(MONTH(Calls[[#This Row],[Date of Call]])&lt;=3,YEAR(Calls[[#This Row],[Date of Call]]),YEAR(Calls[[#This Row],[Date of Call]])+1)</f>
        <v>2025</v>
      </c>
      <c r="K293" t="str">
        <f>TEXT(Calls[[#This Row],[Date of Call]],"dddd")</f>
        <v>Friday</v>
      </c>
      <c r="L293" t="str">
        <f>TEXT(Calls[[#This Row],[Date of Call]],"mmm")</f>
        <v>Feb</v>
      </c>
    </row>
    <row r="294" spans="1:12" x14ac:dyDescent="0.3">
      <c r="A294" t="s">
        <v>298</v>
      </c>
      <c r="B294" t="s">
        <v>1021</v>
      </c>
      <c r="C294">
        <v>114</v>
      </c>
      <c r="D294" t="s">
        <v>1029</v>
      </c>
      <c r="E294" t="s">
        <v>1091</v>
      </c>
      <c r="F294">
        <v>20</v>
      </c>
      <c r="G294">
        <v>2.9</v>
      </c>
      <c r="H294">
        <f>ROUND(Calls[[#This Row],[Satisfactory Rating]],0)</f>
        <v>3</v>
      </c>
      <c r="I294" t="str" cm="1">
        <f t="array" ref="I294">_xlfn.IFS(Calls[[#This Row],[Duration (Min)]]&lt;=30,"Under 30 mins",Calls[[#This Row],[Duration (Min)]]&lt;=60,"Under 1h",Calls[[#This Row],[Duration (Min)]]&lt;=120,"Under 2",TRUE,"More than 2h")</f>
        <v>Under 2</v>
      </c>
      <c r="J294">
        <f>IF(MONTH(Calls[[#This Row],[Date of Call]])&lt;=3,YEAR(Calls[[#This Row],[Date of Call]]),YEAR(Calls[[#This Row],[Date of Call]])+1)</f>
        <v>2025</v>
      </c>
      <c r="K294" t="str">
        <f>TEXT(Calls[[#This Row],[Date of Call]],"dddd")</f>
        <v>Friday</v>
      </c>
      <c r="L294" t="str">
        <f>TEXT(Calls[[#This Row],[Date of Call]],"mmm")</f>
        <v>Feb</v>
      </c>
    </row>
    <row r="295" spans="1:12" x14ac:dyDescent="0.3">
      <c r="A295" t="s">
        <v>299</v>
      </c>
      <c r="B295" t="s">
        <v>1021</v>
      </c>
      <c r="C295">
        <v>84</v>
      </c>
      <c r="D295" t="s">
        <v>1029</v>
      </c>
      <c r="E295" t="s">
        <v>1091</v>
      </c>
      <c r="F295">
        <v>85</v>
      </c>
      <c r="G295">
        <v>3.1</v>
      </c>
      <c r="H295">
        <f>ROUND(Calls[[#This Row],[Satisfactory Rating]],0)</f>
        <v>3</v>
      </c>
      <c r="I295" t="str" cm="1">
        <f t="array" ref="I295">_xlfn.IFS(Calls[[#This Row],[Duration (Min)]]&lt;=30,"Under 30 mins",Calls[[#This Row],[Duration (Min)]]&lt;=60,"Under 1h",Calls[[#This Row],[Duration (Min)]]&lt;=120,"Under 2",TRUE,"More than 2h")</f>
        <v>Under 2</v>
      </c>
      <c r="J295">
        <f>IF(MONTH(Calls[[#This Row],[Date of Call]])&lt;=3,YEAR(Calls[[#This Row],[Date of Call]]),YEAR(Calls[[#This Row],[Date of Call]])+1)</f>
        <v>2025</v>
      </c>
      <c r="K295" t="str">
        <f>TEXT(Calls[[#This Row],[Date of Call]],"dddd")</f>
        <v>Friday</v>
      </c>
      <c r="L295" t="str">
        <f>TEXT(Calls[[#This Row],[Date of Call]],"mmm")</f>
        <v>Feb</v>
      </c>
    </row>
    <row r="296" spans="1:12" x14ac:dyDescent="0.3">
      <c r="A296" t="s">
        <v>300</v>
      </c>
      <c r="B296" t="s">
        <v>1013</v>
      </c>
      <c r="C296">
        <v>90</v>
      </c>
      <c r="D296" t="s">
        <v>1032</v>
      </c>
      <c r="E296" t="s">
        <v>1091</v>
      </c>
      <c r="F296">
        <v>49</v>
      </c>
      <c r="G296">
        <v>3.8</v>
      </c>
      <c r="H296">
        <f>ROUND(Calls[[#This Row],[Satisfactory Rating]],0)</f>
        <v>4</v>
      </c>
      <c r="I296" t="str" cm="1">
        <f t="array" ref="I296">_xlfn.IFS(Calls[[#This Row],[Duration (Min)]]&lt;=30,"Under 30 mins",Calls[[#This Row],[Duration (Min)]]&lt;=60,"Under 1h",Calls[[#This Row],[Duration (Min)]]&lt;=120,"Under 2",TRUE,"More than 2h")</f>
        <v>Under 2</v>
      </c>
      <c r="J296">
        <f>IF(MONTH(Calls[[#This Row],[Date of Call]])&lt;=3,YEAR(Calls[[#This Row],[Date of Call]]),YEAR(Calls[[#This Row],[Date of Call]])+1)</f>
        <v>2025</v>
      </c>
      <c r="K296" t="str">
        <f>TEXT(Calls[[#This Row],[Date of Call]],"dddd")</f>
        <v>Friday</v>
      </c>
      <c r="L296" t="str">
        <f>TEXT(Calls[[#This Row],[Date of Call]],"mmm")</f>
        <v>Feb</v>
      </c>
    </row>
    <row r="297" spans="1:12" x14ac:dyDescent="0.3">
      <c r="A297" t="s">
        <v>301</v>
      </c>
      <c r="B297" t="s">
        <v>1009</v>
      </c>
      <c r="C297">
        <v>82</v>
      </c>
      <c r="D297" t="s">
        <v>1027</v>
      </c>
      <c r="E297" t="s">
        <v>1092</v>
      </c>
      <c r="F297">
        <v>127</v>
      </c>
      <c r="G297">
        <v>1.9</v>
      </c>
      <c r="H297">
        <f>ROUND(Calls[[#This Row],[Satisfactory Rating]],0)</f>
        <v>2</v>
      </c>
      <c r="I297" t="str" cm="1">
        <f t="array" ref="I297">_xlfn.IFS(Calls[[#This Row],[Duration (Min)]]&lt;=30,"Under 30 mins",Calls[[#This Row],[Duration (Min)]]&lt;=60,"Under 1h",Calls[[#This Row],[Duration (Min)]]&lt;=120,"Under 2",TRUE,"More than 2h")</f>
        <v>Under 2</v>
      </c>
      <c r="J297">
        <f>IF(MONTH(Calls[[#This Row],[Date of Call]])&lt;=3,YEAR(Calls[[#This Row],[Date of Call]]),YEAR(Calls[[#This Row],[Date of Call]])+1)</f>
        <v>2025</v>
      </c>
      <c r="K297" t="str">
        <f>TEXT(Calls[[#This Row],[Date of Call]],"dddd")</f>
        <v>Saturday</v>
      </c>
      <c r="L297" t="str">
        <f>TEXT(Calls[[#This Row],[Date of Call]],"mmm")</f>
        <v>Mar</v>
      </c>
    </row>
    <row r="298" spans="1:12" x14ac:dyDescent="0.3">
      <c r="A298" t="s">
        <v>302</v>
      </c>
      <c r="B298" t="s">
        <v>1024</v>
      </c>
      <c r="C298">
        <v>52</v>
      </c>
      <c r="D298" t="s">
        <v>1028</v>
      </c>
      <c r="E298" t="s">
        <v>1092</v>
      </c>
      <c r="F298">
        <v>95</v>
      </c>
      <c r="G298">
        <v>4.5</v>
      </c>
      <c r="H298">
        <f>ROUND(Calls[[#This Row],[Satisfactory Rating]],0)</f>
        <v>5</v>
      </c>
      <c r="I298" t="str" cm="1">
        <f t="array" ref="I298">_xlfn.IFS(Calls[[#This Row],[Duration (Min)]]&lt;=30,"Under 30 mins",Calls[[#This Row],[Duration (Min)]]&lt;=60,"Under 1h",Calls[[#This Row],[Duration (Min)]]&lt;=120,"Under 2",TRUE,"More than 2h")</f>
        <v>Under 1h</v>
      </c>
      <c r="J298">
        <f>IF(MONTH(Calls[[#This Row],[Date of Call]])&lt;=3,YEAR(Calls[[#This Row],[Date of Call]]),YEAR(Calls[[#This Row],[Date of Call]])+1)</f>
        <v>2025</v>
      </c>
      <c r="K298" t="str">
        <f>TEXT(Calls[[#This Row],[Date of Call]],"dddd")</f>
        <v>Saturday</v>
      </c>
      <c r="L298" t="str">
        <f>TEXT(Calls[[#This Row],[Date of Call]],"mmm")</f>
        <v>Mar</v>
      </c>
    </row>
    <row r="299" spans="1:12" x14ac:dyDescent="0.3">
      <c r="A299" t="s">
        <v>303</v>
      </c>
      <c r="B299" t="s">
        <v>1014</v>
      </c>
      <c r="C299">
        <v>20</v>
      </c>
      <c r="D299" t="s">
        <v>1028</v>
      </c>
      <c r="E299" t="s">
        <v>1092</v>
      </c>
      <c r="F299">
        <v>129</v>
      </c>
      <c r="G299">
        <v>2.4</v>
      </c>
      <c r="H299">
        <f>ROUND(Calls[[#This Row],[Satisfactory Rating]],0)</f>
        <v>2</v>
      </c>
      <c r="I299" t="str" cm="1">
        <f t="array" ref="I299">_xlfn.IFS(Calls[[#This Row],[Duration (Min)]]&lt;=30,"Under 30 mins",Calls[[#This Row],[Duration (Min)]]&lt;=60,"Under 1h",Calls[[#This Row],[Duration (Min)]]&lt;=120,"Under 2",TRUE,"More than 2h")</f>
        <v>Under 30 mins</v>
      </c>
      <c r="J299">
        <f>IF(MONTH(Calls[[#This Row],[Date of Call]])&lt;=3,YEAR(Calls[[#This Row],[Date of Call]]),YEAR(Calls[[#This Row],[Date of Call]])+1)</f>
        <v>2025</v>
      </c>
      <c r="K299" t="str">
        <f>TEXT(Calls[[#This Row],[Date of Call]],"dddd")</f>
        <v>Saturday</v>
      </c>
      <c r="L299" t="str">
        <f>TEXT(Calls[[#This Row],[Date of Call]],"mmm")</f>
        <v>Mar</v>
      </c>
    </row>
    <row r="300" spans="1:12" x14ac:dyDescent="0.3">
      <c r="A300" t="s">
        <v>304</v>
      </c>
      <c r="B300" t="s">
        <v>1016</v>
      </c>
      <c r="C300">
        <v>11</v>
      </c>
      <c r="D300" t="s">
        <v>1030</v>
      </c>
      <c r="E300" t="s">
        <v>1092</v>
      </c>
      <c r="F300">
        <v>135</v>
      </c>
      <c r="G300">
        <v>2.7</v>
      </c>
      <c r="H300">
        <f>ROUND(Calls[[#This Row],[Satisfactory Rating]],0)</f>
        <v>3</v>
      </c>
      <c r="I300" t="str" cm="1">
        <f t="array" ref="I300">_xlfn.IFS(Calls[[#This Row],[Duration (Min)]]&lt;=30,"Under 30 mins",Calls[[#This Row],[Duration (Min)]]&lt;=60,"Under 1h",Calls[[#This Row],[Duration (Min)]]&lt;=120,"Under 2",TRUE,"More than 2h")</f>
        <v>Under 30 mins</v>
      </c>
      <c r="J300">
        <f>IF(MONTH(Calls[[#This Row],[Date of Call]])&lt;=3,YEAR(Calls[[#This Row],[Date of Call]]),YEAR(Calls[[#This Row],[Date of Call]])+1)</f>
        <v>2025</v>
      </c>
      <c r="K300" t="str">
        <f>TEXT(Calls[[#This Row],[Date of Call]],"dddd")</f>
        <v>Saturday</v>
      </c>
      <c r="L300" t="str">
        <f>TEXT(Calls[[#This Row],[Date of Call]],"mmm")</f>
        <v>Mar</v>
      </c>
    </row>
    <row r="301" spans="1:12" x14ac:dyDescent="0.3">
      <c r="A301" t="s">
        <v>305</v>
      </c>
      <c r="B301" t="s">
        <v>1015</v>
      </c>
      <c r="C301">
        <v>154</v>
      </c>
      <c r="D301" t="s">
        <v>1029</v>
      </c>
      <c r="E301" t="s">
        <v>1092</v>
      </c>
      <c r="F301">
        <v>62</v>
      </c>
      <c r="G301">
        <v>4.5</v>
      </c>
      <c r="H301">
        <f>ROUND(Calls[[#This Row],[Satisfactory Rating]],0)</f>
        <v>5</v>
      </c>
      <c r="I301" t="str" cm="1">
        <f t="array" ref="I301">_xlfn.IFS(Calls[[#This Row],[Duration (Min)]]&lt;=30,"Under 30 mins",Calls[[#This Row],[Duration (Min)]]&lt;=60,"Under 1h",Calls[[#This Row],[Duration (Min)]]&lt;=120,"Under 2",TRUE,"More than 2h")</f>
        <v>More than 2h</v>
      </c>
      <c r="J301">
        <f>IF(MONTH(Calls[[#This Row],[Date of Call]])&lt;=3,YEAR(Calls[[#This Row],[Date of Call]]),YEAR(Calls[[#This Row],[Date of Call]])+1)</f>
        <v>2025</v>
      </c>
      <c r="K301" t="str">
        <f>TEXT(Calls[[#This Row],[Date of Call]],"dddd")</f>
        <v>Saturday</v>
      </c>
      <c r="L301" t="str">
        <f>TEXT(Calls[[#This Row],[Date of Call]],"mmm")</f>
        <v>Mar</v>
      </c>
    </row>
    <row r="302" spans="1:12" x14ac:dyDescent="0.3">
      <c r="A302" t="s">
        <v>306</v>
      </c>
      <c r="B302" t="s">
        <v>1017</v>
      </c>
      <c r="C302">
        <v>105</v>
      </c>
      <c r="D302" t="s">
        <v>1027</v>
      </c>
      <c r="E302" t="s">
        <v>1093</v>
      </c>
      <c r="F302">
        <v>94</v>
      </c>
      <c r="G302">
        <v>2.6</v>
      </c>
      <c r="H302">
        <f>ROUND(Calls[[#This Row],[Satisfactory Rating]],0)</f>
        <v>3</v>
      </c>
      <c r="I302" t="str" cm="1">
        <f t="array" ref="I302">_xlfn.IFS(Calls[[#This Row],[Duration (Min)]]&lt;=30,"Under 30 mins",Calls[[#This Row],[Duration (Min)]]&lt;=60,"Under 1h",Calls[[#This Row],[Duration (Min)]]&lt;=120,"Under 2",TRUE,"More than 2h")</f>
        <v>Under 2</v>
      </c>
      <c r="J302">
        <f>IF(MONTH(Calls[[#This Row],[Date of Call]])&lt;=3,YEAR(Calls[[#This Row],[Date of Call]]),YEAR(Calls[[#This Row],[Date of Call]])+1)</f>
        <v>2025</v>
      </c>
      <c r="K302" t="str">
        <f>TEXT(Calls[[#This Row],[Date of Call]],"dddd")</f>
        <v>Sunday</v>
      </c>
      <c r="L302" t="str">
        <f>TEXT(Calls[[#This Row],[Date of Call]],"mmm")</f>
        <v>Mar</v>
      </c>
    </row>
    <row r="303" spans="1:12" x14ac:dyDescent="0.3">
      <c r="A303" t="s">
        <v>307</v>
      </c>
      <c r="B303" t="s">
        <v>1006</v>
      </c>
      <c r="C303">
        <v>17</v>
      </c>
      <c r="D303" t="s">
        <v>1031</v>
      </c>
      <c r="E303" t="s">
        <v>1093</v>
      </c>
      <c r="F303">
        <v>76</v>
      </c>
      <c r="G303">
        <v>3.5</v>
      </c>
      <c r="H303">
        <f>ROUND(Calls[[#This Row],[Satisfactory Rating]],0)</f>
        <v>4</v>
      </c>
      <c r="I303" t="str" cm="1">
        <f t="array" ref="I303">_xlfn.IFS(Calls[[#This Row],[Duration (Min)]]&lt;=30,"Under 30 mins",Calls[[#This Row],[Duration (Min)]]&lt;=60,"Under 1h",Calls[[#This Row],[Duration (Min)]]&lt;=120,"Under 2",TRUE,"More than 2h")</f>
        <v>Under 30 mins</v>
      </c>
      <c r="J303">
        <f>IF(MONTH(Calls[[#This Row],[Date of Call]])&lt;=3,YEAR(Calls[[#This Row],[Date of Call]]),YEAR(Calls[[#This Row],[Date of Call]])+1)</f>
        <v>2025</v>
      </c>
      <c r="K303" t="str">
        <f>TEXT(Calls[[#This Row],[Date of Call]],"dddd")</f>
        <v>Sunday</v>
      </c>
      <c r="L303" t="str">
        <f>TEXT(Calls[[#This Row],[Date of Call]],"mmm")</f>
        <v>Mar</v>
      </c>
    </row>
    <row r="304" spans="1:12" x14ac:dyDescent="0.3">
      <c r="A304" t="s">
        <v>308</v>
      </c>
      <c r="B304" t="s">
        <v>1020</v>
      </c>
      <c r="C304">
        <v>81</v>
      </c>
      <c r="D304" t="s">
        <v>1028</v>
      </c>
      <c r="E304" t="s">
        <v>1093</v>
      </c>
      <c r="F304">
        <v>34</v>
      </c>
      <c r="G304">
        <v>2.5</v>
      </c>
      <c r="H304">
        <f>ROUND(Calls[[#This Row],[Satisfactory Rating]],0)</f>
        <v>3</v>
      </c>
      <c r="I304" t="str" cm="1">
        <f t="array" ref="I304">_xlfn.IFS(Calls[[#This Row],[Duration (Min)]]&lt;=30,"Under 30 mins",Calls[[#This Row],[Duration (Min)]]&lt;=60,"Under 1h",Calls[[#This Row],[Duration (Min)]]&lt;=120,"Under 2",TRUE,"More than 2h")</f>
        <v>Under 2</v>
      </c>
      <c r="J304">
        <f>IF(MONTH(Calls[[#This Row],[Date of Call]])&lt;=3,YEAR(Calls[[#This Row],[Date of Call]]),YEAR(Calls[[#This Row],[Date of Call]])+1)</f>
        <v>2025</v>
      </c>
      <c r="K304" t="str">
        <f>TEXT(Calls[[#This Row],[Date of Call]],"dddd")</f>
        <v>Sunday</v>
      </c>
      <c r="L304" t="str">
        <f>TEXT(Calls[[#This Row],[Date of Call]],"mmm")</f>
        <v>Mar</v>
      </c>
    </row>
    <row r="305" spans="1:12" x14ac:dyDescent="0.3">
      <c r="A305" t="s">
        <v>309</v>
      </c>
      <c r="B305" t="s">
        <v>1022</v>
      </c>
      <c r="C305">
        <v>61</v>
      </c>
      <c r="D305" t="s">
        <v>1030</v>
      </c>
      <c r="E305" t="s">
        <v>1093</v>
      </c>
      <c r="F305">
        <v>83</v>
      </c>
      <c r="G305">
        <v>3.1</v>
      </c>
      <c r="H305">
        <f>ROUND(Calls[[#This Row],[Satisfactory Rating]],0)</f>
        <v>3</v>
      </c>
      <c r="I305" t="str" cm="1">
        <f t="array" ref="I305">_xlfn.IFS(Calls[[#This Row],[Duration (Min)]]&lt;=30,"Under 30 mins",Calls[[#This Row],[Duration (Min)]]&lt;=60,"Under 1h",Calls[[#This Row],[Duration (Min)]]&lt;=120,"Under 2",TRUE,"More than 2h")</f>
        <v>Under 2</v>
      </c>
      <c r="J305">
        <f>IF(MONTH(Calls[[#This Row],[Date of Call]])&lt;=3,YEAR(Calls[[#This Row],[Date of Call]]),YEAR(Calls[[#This Row],[Date of Call]])+1)</f>
        <v>2025</v>
      </c>
      <c r="K305" t="str">
        <f>TEXT(Calls[[#This Row],[Date of Call]],"dddd")</f>
        <v>Sunday</v>
      </c>
      <c r="L305" t="str">
        <f>TEXT(Calls[[#This Row],[Date of Call]],"mmm")</f>
        <v>Mar</v>
      </c>
    </row>
    <row r="306" spans="1:12" x14ac:dyDescent="0.3">
      <c r="A306" t="s">
        <v>310</v>
      </c>
      <c r="B306" t="s">
        <v>1009</v>
      </c>
      <c r="C306">
        <v>129</v>
      </c>
      <c r="D306" t="s">
        <v>1031</v>
      </c>
      <c r="E306" t="s">
        <v>1093</v>
      </c>
      <c r="F306">
        <v>85</v>
      </c>
      <c r="G306">
        <v>3.6</v>
      </c>
      <c r="H306">
        <f>ROUND(Calls[[#This Row],[Satisfactory Rating]],0)</f>
        <v>4</v>
      </c>
      <c r="I306" t="str" cm="1">
        <f t="array" ref="I306">_xlfn.IFS(Calls[[#This Row],[Duration (Min)]]&lt;=30,"Under 30 mins",Calls[[#This Row],[Duration (Min)]]&lt;=60,"Under 1h",Calls[[#This Row],[Duration (Min)]]&lt;=120,"Under 2",TRUE,"More than 2h")</f>
        <v>More than 2h</v>
      </c>
      <c r="J306">
        <f>IF(MONTH(Calls[[#This Row],[Date of Call]])&lt;=3,YEAR(Calls[[#This Row],[Date of Call]]),YEAR(Calls[[#This Row],[Date of Call]])+1)</f>
        <v>2025</v>
      </c>
      <c r="K306" t="str">
        <f>TEXT(Calls[[#This Row],[Date of Call]],"dddd")</f>
        <v>Sunday</v>
      </c>
      <c r="L306" t="str">
        <f>TEXT(Calls[[#This Row],[Date of Call]],"mmm")</f>
        <v>Mar</v>
      </c>
    </row>
    <row r="307" spans="1:12" x14ac:dyDescent="0.3">
      <c r="A307" t="s">
        <v>311</v>
      </c>
      <c r="B307" t="s">
        <v>1024</v>
      </c>
      <c r="C307">
        <v>74</v>
      </c>
      <c r="D307" t="s">
        <v>1028</v>
      </c>
      <c r="E307" t="s">
        <v>1094</v>
      </c>
      <c r="F307">
        <v>114</v>
      </c>
      <c r="G307">
        <v>3.8</v>
      </c>
      <c r="H307">
        <f>ROUND(Calls[[#This Row],[Satisfactory Rating]],0)</f>
        <v>4</v>
      </c>
      <c r="I307" t="str" cm="1">
        <f t="array" ref="I307">_xlfn.IFS(Calls[[#This Row],[Duration (Min)]]&lt;=30,"Under 30 mins",Calls[[#This Row],[Duration (Min)]]&lt;=60,"Under 1h",Calls[[#This Row],[Duration (Min)]]&lt;=120,"Under 2",TRUE,"More than 2h")</f>
        <v>Under 2</v>
      </c>
      <c r="J307">
        <f>IF(MONTH(Calls[[#This Row],[Date of Call]])&lt;=3,YEAR(Calls[[#This Row],[Date of Call]]),YEAR(Calls[[#This Row],[Date of Call]])+1)</f>
        <v>2025</v>
      </c>
      <c r="K307" t="str">
        <f>TEXT(Calls[[#This Row],[Date of Call]],"dddd")</f>
        <v>Monday</v>
      </c>
      <c r="L307" t="str">
        <f>TEXT(Calls[[#This Row],[Date of Call]],"mmm")</f>
        <v>Mar</v>
      </c>
    </row>
    <row r="308" spans="1:12" x14ac:dyDescent="0.3">
      <c r="A308" t="s">
        <v>312</v>
      </c>
      <c r="B308" t="s">
        <v>1008</v>
      </c>
      <c r="C308">
        <v>95</v>
      </c>
      <c r="D308" t="s">
        <v>1031</v>
      </c>
      <c r="E308" t="s">
        <v>1094</v>
      </c>
      <c r="F308">
        <v>61</v>
      </c>
      <c r="G308">
        <v>2.9</v>
      </c>
      <c r="H308">
        <f>ROUND(Calls[[#This Row],[Satisfactory Rating]],0)</f>
        <v>3</v>
      </c>
      <c r="I308" t="str" cm="1">
        <f t="array" ref="I308">_xlfn.IFS(Calls[[#This Row],[Duration (Min)]]&lt;=30,"Under 30 mins",Calls[[#This Row],[Duration (Min)]]&lt;=60,"Under 1h",Calls[[#This Row],[Duration (Min)]]&lt;=120,"Under 2",TRUE,"More than 2h")</f>
        <v>Under 2</v>
      </c>
      <c r="J308">
        <f>IF(MONTH(Calls[[#This Row],[Date of Call]])&lt;=3,YEAR(Calls[[#This Row],[Date of Call]]),YEAR(Calls[[#This Row],[Date of Call]])+1)</f>
        <v>2025</v>
      </c>
      <c r="K308" t="str">
        <f>TEXT(Calls[[#This Row],[Date of Call]],"dddd")</f>
        <v>Monday</v>
      </c>
      <c r="L308" t="str">
        <f>TEXT(Calls[[#This Row],[Date of Call]],"mmm")</f>
        <v>Mar</v>
      </c>
    </row>
    <row r="309" spans="1:12" x14ac:dyDescent="0.3">
      <c r="A309" t="s">
        <v>313</v>
      </c>
      <c r="B309" t="s">
        <v>1017</v>
      </c>
      <c r="C309">
        <v>27</v>
      </c>
      <c r="D309" t="s">
        <v>1031</v>
      </c>
      <c r="E309" t="s">
        <v>1094</v>
      </c>
      <c r="F309">
        <v>25</v>
      </c>
      <c r="G309">
        <v>2.2000000000000002</v>
      </c>
      <c r="H309">
        <f>ROUND(Calls[[#This Row],[Satisfactory Rating]],0)</f>
        <v>2</v>
      </c>
      <c r="I309" t="str" cm="1">
        <f t="array" ref="I309">_xlfn.IFS(Calls[[#This Row],[Duration (Min)]]&lt;=30,"Under 30 mins",Calls[[#This Row],[Duration (Min)]]&lt;=60,"Under 1h",Calls[[#This Row],[Duration (Min)]]&lt;=120,"Under 2",TRUE,"More than 2h")</f>
        <v>Under 30 mins</v>
      </c>
      <c r="J309">
        <f>IF(MONTH(Calls[[#This Row],[Date of Call]])&lt;=3,YEAR(Calls[[#This Row],[Date of Call]]),YEAR(Calls[[#This Row],[Date of Call]])+1)</f>
        <v>2025</v>
      </c>
      <c r="K309" t="str">
        <f>TEXT(Calls[[#This Row],[Date of Call]],"dddd")</f>
        <v>Monday</v>
      </c>
      <c r="L309" t="str">
        <f>TEXT(Calls[[#This Row],[Date of Call]],"mmm")</f>
        <v>Mar</v>
      </c>
    </row>
    <row r="310" spans="1:12" x14ac:dyDescent="0.3">
      <c r="A310" t="s">
        <v>314</v>
      </c>
      <c r="B310" t="s">
        <v>1023</v>
      </c>
      <c r="C310">
        <v>29</v>
      </c>
      <c r="D310" t="s">
        <v>1028</v>
      </c>
      <c r="E310" t="s">
        <v>1094</v>
      </c>
      <c r="F310">
        <v>142</v>
      </c>
      <c r="G310">
        <v>2.9</v>
      </c>
      <c r="H310">
        <f>ROUND(Calls[[#This Row],[Satisfactory Rating]],0)</f>
        <v>3</v>
      </c>
      <c r="I310" t="str" cm="1">
        <f t="array" ref="I310">_xlfn.IFS(Calls[[#This Row],[Duration (Min)]]&lt;=30,"Under 30 mins",Calls[[#This Row],[Duration (Min)]]&lt;=60,"Under 1h",Calls[[#This Row],[Duration (Min)]]&lt;=120,"Under 2",TRUE,"More than 2h")</f>
        <v>Under 30 mins</v>
      </c>
      <c r="J310">
        <f>IF(MONTH(Calls[[#This Row],[Date of Call]])&lt;=3,YEAR(Calls[[#This Row],[Date of Call]]),YEAR(Calls[[#This Row],[Date of Call]])+1)</f>
        <v>2025</v>
      </c>
      <c r="K310" t="str">
        <f>TEXT(Calls[[#This Row],[Date of Call]],"dddd")</f>
        <v>Monday</v>
      </c>
      <c r="L310" t="str">
        <f>TEXT(Calls[[#This Row],[Date of Call]],"mmm")</f>
        <v>Mar</v>
      </c>
    </row>
    <row r="311" spans="1:12" x14ac:dyDescent="0.3">
      <c r="A311" t="s">
        <v>315</v>
      </c>
      <c r="B311" t="s">
        <v>1017</v>
      </c>
      <c r="C311">
        <v>146</v>
      </c>
      <c r="D311" t="s">
        <v>1027</v>
      </c>
      <c r="E311" t="s">
        <v>1094</v>
      </c>
      <c r="F311">
        <v>53</v>
      </c>
      <c r="G311">
        <v>4.5</v>
      </c>
      <c r="H311">
        <f>ROUND(Calls[[#This Row],[Satisfactory Rating]],0)</f>
        <v>5</v>
      </c>
      <c r="I311" t="str" cm="1">
        <f t="array" ref="I311">_xlfn.IFS(Calls[[#This Row],[Duration (Min)]]&lt;=30,"Under 30 mins",Calls[[#This Row],[Duration (Min)]]&lt;=60,"Under 1h",Calls[[#This Row],[Duration (Min)]]&lt;=120,"Under 2",TRUE,"More than 2h")</f>
        <v>More than 2h</v>
      </c>
      <c r="J311">
        <f>IF(MONTH(Calls[[#This Row],[Date of Call]])&lt;=3,YEAR(Calls[[#This Row],[Date of Call]]),YEAR(Calls[[#This Row],[Date of Call]])+1)</f>
        <v>2025</v>
      </c>
      <c r="K311" t="str">
        <f>TEXT(Calls[[#This Row],[Date of Call]],"dddd")</f>
        <v>Monday</v>
      </c>
      <c r="L311" t="str">
        <f>TEXT(Calls[[#This Row],[Date of Call]],"mmm")</f>
        <v>Mar</v>
      </c>
    </row>
    <row r="312" spans="1:12" x14ac:dyDescent="0.3">
      <c r="A312" t="s">
        <v>316</v>
      </c>
      <c r="B312" t="s">
        <v>1015</v>
      </c>
      <c r="C312">
        <v>116</v>
      </c>
      <c r="D312" t="s">
        <v>1028</v>
      </c>
      <c r="E312" t="s">
        <v>1095</v>
      </c>
      <c r="F312">
        <v>29</v>
      </c>
      <c r="G312">
        <v>1.8</v>
      </c>
      <c r="H312">
        <f>ROUND(Calls[[#This Row],[Satisfactory Rating]],0)</f>
        <v>2</v>
      </c>
      <c r="I312" t="str" cm="1">
        <f t="array" ref="I312">_xlfn.IFS(Calls[[#This Row],[Duration (Min)]]&lt;=30,"Under 30 mins",Calls[[#This Row],[Duration (Min)]]&lt;=60,"Under 1h",Calls[[#This Row],[Duration (Min)]]&lt;=120,"Under 2",TRUE,"More than 2h")</f>
        <v>Under 2</v>
      </c>
      <c r="J312">
        <f>IF(MONTH(Calls[[#This Row],[Date of Call]])&lt;=3,YEAR(Calls[[#This Row],[Date of Call]]),YEAR(Calls[[#This Row],[Date of Call]])+1)</f>
        <v>2025</v>
      </c>
      <c r="K312" t="str">
        <f>TEXT(Calls[[#This Row],[Date of Call]],"dddd")</f>
        <v>Tuesday</v>
      </c>
      <c r="L312" t="str">
        <f>TEXT(Calls[[#This Row],[Date of Call]],"mmm")</f>
        <v>Mar</v>
      </c>
    </row>
    <row r="313" spans="1:12" x14ac:dyDescent="0.3">
      <c r="A313" t="s">
        <v>317</v>
      </c>
      <c r="B313" t="s">
        <v>1016</v>
      </c>
      <c r="C313">
        <v>135</v>
      </c>
      <c r="D313" t="s">
        <v>1028</v>
      </c>
      <c r="E313" t="s">
        <v>1095</v>
      </c>
      <c r="F313">
        <v>66</v>
      </c>
      <c r="G313">
        <v>2.8</v>
      </c>
      <c r="H313">
        <f>ROUND(Calls[[#This Row],[Satisfactory Rating]],0)</f>
        <v>3</v>
      </c>
      <c r="I313" t="str" cm="1">
        <f t="array" ref="I313">_xlfn.IFS(Calls[[#This Row],[Duration (Min)]]&lt;=30,"Under 30 mins",Calls[[#This Row],[Duration (Min)]]&lt;=60,"Under 1h",Calls[[#This Row],[Duration (Min)]]&lt;=120,"Under 2",TRUE,"More than 2h")</f>
        <v>More than 2h</v>
      </c>
      <c r="J313">
        <f>IF(MONTH(Calls[[#This Row],[Date of Call]])&lt;=3,YEAR(Calls[[#This Row],[Date of Call]]),YEAR(Calls[[#This Row],[Date of Call]])+1)</f>
        <v>2025</v>
      </c>
      <c r="K313" t="str">
        <f>TEXT(Calls[[#This Row],[Date of Call]],"dddd")</f>
        <v>Tuesday</v>
      </c>
      <c r="L313" t="str">
        <f>TEXT(Calls[[#This Row],[Date of Call]],"mmm")</f>
        <v>Mar</v>
      </c>
    </row>
    <row r="314" spans="1:12" x14ac:dyDescent="0.3">
      <c r="A314" t="s">
        <v>318</v>
      </c>
      <c r="B314" t="s">
        <v>1025</v>
      </c>
      <c r="C314">
        <v>124</v>
      </c>
      <c r="D314" t="s">
        <v>1027</v>
      </c>
      <c r="E314" t="s">
        <v>1095</v>
      </c>
      <c r="F314">
        <v>71</v>
      </c>
      <c r="G314">
        <v>3.8</v>
      </c>
      <c r="H314">
        <f>ROUND(Calls[[#This Row],[Satisfactory Rating]],0)</f>
        <v>4</v>
      </c>
      <c r="I314" t="str" cm="1">
        <f t="array" ref="I314">_xlfn.IFS(Calls[[#This Row],[Duration (Min)]]&lt;=30,"Under 30 mins",Calls[[#This Row],[Duration (Min)]]&lt;=60,"Under 1h",Calls[[#This Row],[Duration (Min)]]&lt;=120,"Under 2",TRUE,"More than 2h")</f>
        <v>More than 2h</v>
      </c>
      <c r="J314">
        <f>IF(MONTH(Calls[[#This Row],[Date of Call]])&lt;=3,YEAR(Calls[[#This Row],[Date of Call]]),YEAR(Calls[[#This Row],[Date of Call]])+1)</f>
        <v>2025</v>
      </c>
      <c r="K314" t="str">
        <f>TEXT(Calls[[#This Row],[Date of Call]],"dddd")</f>
        <v>Tuesday</v>
      </c>
      <c r="L314" t="str">
        <f>TEXT(Calls[[#This Row],[Date of Call]],"mmm")</f>
        <v>Mar</v>
      </c>
    </row>
    <row r="315" spans="1:12" x14ac:dyDescent="0.3">
      <c r="A315" t="s">
        <v>319</v>
      </c>
      <c r="B315" t="s">
        <v>1009</v>
      </c>
      <c r="C315">
        <v>84</v>
      </c>
      <c r="D315" t="s">
        <v>1028</v>
      </c>
      <c r="E315" t="s">
        <v>1095</v>
      </c>
      <c r="F315">
        <v>76</v>
      </c>
      <c r="G315">
        <v>2.1</v>
      </c>
      <c r="H315">
        <f>ROUND(Calls[[#This Row],[Satisfactory Rating]],0)</f>
        <v>2</v>
      </c>
      <c r="I315" t="str" cm="1">
        <f t="array" ref="I315">_xlfn.IFS(Calls[[#This Row],[Duration (Min)]]&lt;=30,"Under 30 mins",Calls[[#This Row],[Duration (Min)]]&lt;=60,"Under 1h",Calls[[#This Row],[Duration (Min)]]&lt;=120,"Under 2",TRUE,"More than 2h")</f>
        <v>Under 2</v>
      </c>
      <c r="J315">
        <f>IF(MONTH(Calls[[#This Row],[Date of Call]])&lt;=3,YEAR(Calls[[#This Row],[Date of Call]]),YEAR(Calls[[#This Row],[Date of Call]])+1)</f>
        <v>2025</v>
      </c>
      <c r="K315" t="str">
        <f>TEXT(Calls[[#This Row],[Date of Call]],"dddd")</f>
        <v>Tuesday</v>
      </c>
      <c r="L315" t="str">
        <f>TEXT(Calls[[#This Row],[Date of Call]],"mmm")</f>
        <v>Mar</v>
      </c>
    </row>
    <row r="316" spans="1:12" x14ac:dyDescent="0.3">
      <c r="A316" t="s">
        <v>320</v>
      </c>
      <c r="B316" t="s">
        <v>1023</v>
      </c>
      <c r="C316">
        <v>110</v>
      </c>
      <c r="D316" t="s">
        <v>1029</v>
      </c>
      <c r="E316" t="s">
        <v>1095</v>
      </c>
      <c r="F316">
        <v>89</v>
      </c>
      <c r="G316">
        <v>3.9</v>
      </c>
      <c r="H316">
        <f>ROUND(Calls[[#This Row],[Satisfactory Rating]],0)</f>
        <v>4</v>
      </c>
      <c r="I316" t="str" cm="1">
        <f t="array" ref="I316">_xlfn.IFS(Calls[[#This Row],[Duration (Min)]]&lt;=30,"Under 30 mins",Calls[[#This Row],[Duration (Min)]]&lt;=60,"Under 1h",Calls[[#This Row],[Duration (Min)]]&lt;=120,"Under 2",TRUE,"More than 2h")</f>
        <v>Under 2</v>
      </c>
      <c r="J316">
        <f>IF(MONTH(Calls[[#This Row],[Date of Call]])&lt;=3,YEAR(Calls[[#This Row],[Date of Call]]),YEAR(Calls[[#This Row],[Date of Call]])+1)</f>
        <v>2025</v>
      </c>
      <c r="K316" t="str">
        <f>TEXT(Calls[[#This Row],[Date of Call]],"dddd")</f>
        <v>Tuesday</v>
      </c>
      <c r="L316" t="str">
        <f>TEXT(Calls[[#This Row],[Date of Call]],"mmm")</f>
        <v>Mar</v>
      </c>
    </row>
    <row r="317" spans="1:12" x14ac:dyDescent="0.3">
      <c r="A317" t="s">
        <v>321</v>
      </c>
      <c r="B317" t="s">
        <v>1022</v>
      </c>
      <c r="C317">
        <v>153</v>
      </c>
      <c r="D317" t="s">
        <v>1029</v>
      </c>
      <c r="E317" t="s">
        <v>1096</v>
      </c>
      <c r="F317">
        <v>37</v>
      </c>
      <c r="G317">
        <v>1.5</v>
      </c>
      <c r="H317">
        <f>ROUND(Calls[[#This Row],[Satisfactory Rating]],0)</f>
        <v>2</v>
      </c>
      <c r="I317" t="str" cm="1">
        <f t="array" ref="I317">_xlfn.IFS(Calls[[#This Row],[Duration (Min)]]&lt;=30,"Under 30 mins",Calls[[#This Row],[Duration (Min)]]&lt;=60,"Under 1h",Calls[[#This Row],[Duration (Min)]]&lt;=120,"Under 2",TRUE,"More than 2h")</f>
        <v>More than 2h</v>
      </c>
      <c r="J317">
        <f>IF(MONTH(Calls[[#This Row],[Date of Call]])&lt;=3,YEAR(Calls[[#This Row],[Date of Call]]),YEAR(Calls[[#This Row],[Date of Call]])+1)</f>
        <v>2025</v>
      </c>
      <c r="K317" t="str">
        <f>TEXT(Calls[[#This Row],[Date of Call]],"dddd")</f>
        <v>Wednesday</v>
      </c>
      <c r="L317" t="str">
        <f>TEXT(Calls[[#This Row],[Date of Call]],"mmm")</f>
        <v>Mar</v>
      </c>
    </row>
    <row r="318" spans="1:12" x14ac:dyDescent="0.3">
      <c r="A318" t="s">
        <v>322</v>
      </c>
      <c r="B318" t="s">
        <v>1012</v>
      </c>
      <c r="C318">
        <v>99</v>
      </c>
      <c r="D318" t="s">
        <v>1032</v>
      </c>
      <c r="E318" t="s">
        <v>1096</v>
      </c>
      <c r="F318">
        <v>20</v>
      </c>
      <c r="G318">
        <v>1</v>
      </c>
      <c r="H318">
        <f>ROUND(Calls[[#This Row],[Satisfactory Rating]],0)</f>
        <v>1</v>
      </c>
      <c r="I318" t="str" cm="1">
        <f t="array" ref="I318">_xlfn.IFS(Calls[[#This Row],[Duration (Min)]]&lt;=30,"Under 30 mins",Calls[[#This Row],[Duration (Min)]]&lt;=60,"Under 1h",Calls[[#This Row],[Duration (Min)]]&lt;=120,"Under 2",TRUE,"More than 2h")</f>
        <v>Under 2</v>
      </c>
      <c r="J318">
        <f>IF(MONTH(Calls[[#This Row],[Date of Call]])&lt;=3,YEAR(Calls[[#This Row],[Date of Call]]),YEAR(Calls[[#This Row],[Date of Call]])+1)</f>
        <v>2025</v>
      </c>
      <c r="K318" t="str">
        <f>TEXT(Calls[[#This Row],[Date of Call]],"dddd")</f>
        <v>Wednesday</v>
      </c>
      <c r="L318" t="str">
        <f>TEXT(Calls[[#This Row],[Date of Call]],"mmm")</f>
        <v>Mar</v>
      </c>
    </row>
    <row r="319" spans="1:12" x14ac:dyDescent="0.3">
      <c r="A319" t="s">
        <v>323</v>
      </c>
      <c r="B319" t="s">
        <v>1022</v>
      </c>
      <c r="C319">
        <v>134</v>
      </c>
      <c r="D319" t="s">
        <v>1031</v>
      </c>
      <c r="E319" t="s">
        <v>1096</v>
      </c>
      <c r="F319">
        <v>72</v>
      </c>
      <c r="G319">
        <v>4.8</v>
      </c>
      <c r="H319">
        <f>ROUND(Calls[[#This Row],[Satisfactory Rating]],0)</f>
        <v>5</v>
      </c>
      <c r="I319" t="str" cm="1">
        <f t="array" ref="I319">_xlfn.IFS(Calls[[#This Row],[Duration (Min)]]&lt;=30,"Under 30 mins",Calls[[#This Row],[Duration (Min)]]&lt;=60,"Under 1h",Calls[[#This Row],[Duration (Min)]]&lt;=120,"Under 2",TRUE,"More than 2h")</f>
        <v>More than 2h</v>
      </c>
      <c r="J319">
        <f>IF(MONTH(Calls[[#This Row],[Date of Call]])&lt;=3,YEAR(Calls[[#This Row],[Date of Call]]),YEAR(Calls[[#This Row],[Date of Call]])+1)</f>
        <v>2025</v>
      </c>
      <c r="K319" t="str">
        <f>TEXT(Calls[[#This Row],[Date of Call]],"dddd")</f>
        <v>Wednesday</v>
      </c>
      <c r="L319" t="str">
        <f>TEXT(Calls[[#This Row],[Date of Call]],"mmm")</f>
        <v>Mar</v>
      </c>
    </row>
    <row r="320" spans="1:12" x14ac:dyDescent="0.3">
      <c r="A320" t="s">
        <v>324</v>
      </c>
      <c r="B320" t="s">
        <v>1011</v>
      </c>
      <c r="C320">
        <v>63</v>
      </c>
      <c r="D320" t="s">
        <v>1032</v>
      </c>
      <c r="E320" t="s">
        <v>1096</v>
      </c>
      <c r="F320">
        <v>50</v>
      </c>
      <c r="G320">
        <v>4.9000000000000004</v>
      </c>
      <c r="H320">
        <f>ROUND(Calls[[#This Row],[Satisfactory Rating]],0)</f>
        <v>5</v>
      </c>
      <c r="I320" t="str" cm="1">
        <f t="array" ref="I320">_xlfn.IFS(Calls[[#This Row],[Duration (Min)]]&lt;=30,"Under 30 mins",Calls[[#This Row],[Duration (Min)]]&lt;=60,"Under 1h",Calls[[#This Row],[Duration (Min)]]&lt;=120,"Under 2",TRUE,"More than 2h")</f>
        <v>Under 2</v>
      </c>
      <c r="J320">
        <f>IF(MONTH(Calls[[#This Row],[Date of Call]])&lt;=3,YEAR(Calls[[#This Row],[Date of Call]]),YEAR(Calls[[#This Row],[Date of Call]])+1)</f>
        <v>2025</v>
      </c>
      <c r="K320" t="str">
        <f>TEXT(Calls[[#This Row],[Date of Call]],"dddd")</f>
        <v>Wednesday</v>
      </c>
      <c r="L320" t="str">
        <f>TEXT(Calls[[#This Row],[Date of Call]],"mmm")</f>
        <v>Mar</v>
      </c>
    </row>
    <row r="321" spans="1:12" x14ac:dyDescent="0.3">
      <c r="A321" t="s">
        <v>325</v>
      </c>
      <c r="B321" t="s">
        <v>1009</v>
      </c>
      <c r="C321">
        <v>117</v>
      </c>
      <c r="D321" t="s">
        <v>1027</v>
      </c>
      <c r="E321" t="s">
        <v>1096</v>
      </c>
      <c r="F321">
        <v>97</v>
      </c>
      <c r="G321">
        <v>3.5</v>
      </c>
      <c r="H321">
        <f>ROUND(Calls[[#This Row],[Satisfactory Rating]],0)</f>
        <v>4</v>
      </c>
      <c r="I321" t="str" cm="1">
        <f t="array" ref="I321">_xlfn.IFS(Calls[[#This Row],[Duration (Min)]]&lt;=30,"Under 30 mins",Calls[[#This Row],[Duration (Min)]]&lt;=60,"Under 1h",Calls[[#This Row],[Duration (Min)]]&lt;=120,"Under 2",TRUE,"More than 2h")</f>
        <v>Under 2</v>
      </c>
      <c r="J321">
        <f>IF(MONTH(Calls[[#This Row],[Date of Call]])&lt;=3,YEAR(Calls[[#This Row],[Date of Call]]),YEAR(Calls[[#This Row],[Date of Call]])+1)</f>
        <v>2025</v>
      </c>
      <c r="K321" t="str">
        <f>TEXT(Calls[[#This Row],[Date of Call]],"dddd")</f>
        <v>Wednesday</v>
      </c>
      <c r="L321" t="str">
        <f>TEXT(Calls[[#This Row],[Date of Call]],"mmm")</f>
        <v>Mar</v>
      </c>
    </row>
    <row r="322" spans="1:12" x14ac:dyDescent="0.3">
      <c r="A322" t="s">
        <v>326</v>
      </c>
      <c r="B322" t="s">
        <v>1024</v>
      </c>
      <c r="C322">
        <v>131</v>
      </c>
      <c r="D322" t="s">
        <v>1030</v>
      </c>
      <c r="E322" t="s">
        <v>1097</v>
      </c>
      <c r="F322">
        <v>48</v>
      </c>
      <c r="G322">
        <v>5</v>
      </c>
      <c r="H322">
        <f>ROUND(Calls[[#This Row],[Satisfactory Rating]],0)</f>
        <v>5</v>
      </c>
      <c r="I322" t="str" cm="1">
        <f t="array" ref="I322">_xlfn.IFS(Calls[[#This Row],[Duration (Min)]]&lt;=30,"Under 30 mins",Calls[[#This Row],[Duration (Min)]]&lt;=60,"Under 1h",Calls[[#This Row],[Duration (Min)]]&lt;=120,"Under 2",TRUE,"More than 2h")</f>
        <v>More than 2h</v>
      </c>
      <c r="J322">
        <f>IF(MONTH(Calls[[#This Row],[Date of Call]])&lt;=3,YEAR(Calls[[#This Row],[Date of Call]]),YEAR(Calls[[#This Row],[Date of Call]])+1)</f>
        <v>2025</v>
      </c>
      <c r="K322" t="str">
        <f>TEXT(Calls[[#This Row],[Date of Call]],"dddd")</f>
        <v>Thursday</v>
      </c>
      <c r="L322" t="str">
        <f>TEXT(Calls[[#This Row],[Date of Call]],"mmm")</f>
        <v>Mar</v>
      </c>
    </row>
    <row r="323" spans="1:12" x14ac:dyDescent="0.3">
      <c r="A323" t="s">
        <v>327</v>
      </c>
      <c r="B323" t="s">
        <v>1009</v>
      </c>
      <c r="C323">
        <v>127</v>
      </c>
      <c r="D323" t="s">
        <v>1031</v>
      </c>
      <c r="E323" t="s">
        <v>1097</v>
      </c>
      <c r="F323">
        <v>68</v>
      </c>
      <c r="G323">
        <v>3.3</v>
      </c>
      <c r="H323">
        <f>ROUND(Calls[[#This Row],[Satisfactory Rating]],0)</f>
        <v>3</v>
      </c>
      <c r="I323" t="str" cm="1">
        <f t="array" ref="I323">_xlfn.IFS(Calls[[#This Row],[Duration (Min)]]&lt;=30,"Under 30 mins",Calls[[#This Row],[Duration (Min)]]&lt;=60,"Under 1h",Calls[[#This Row],[Duration (Min)]]&lt;=120,"Under 2",TRUE,"More than 2h")</f>
        <v>More than 2h</v>
      </c>
      <c r="J323">
        <f>IF(MONTH(Calls[[#This Row],[Date of Call]])&lt;=3,YEAR(Calls[[#This Row],[Date of Call]]),YEAR(Calls[[#This Row],[Date of Call]])+1)</f>
        <v>2025</v>
      </c>
      <c r="K323" t="str">
        <f>TEXT(Calls[[#This Row],[Date of Call]],"dddd")</f>
        <v>Thursday</v>
      </c>
      <c r="L323" t="str">
        <f>TEXT(Calls[[#This Row],[Date of Call]],"mmm")</f>
        <v>Mar</v>
      </c>
    </row>
    <row r="324" spans="1:12" x14ac:dyDescent="0.3">
      <c r="A324" t="s">
        <v>328</v>
      </c>
      <c r="B324" t="s">
        <v>1022</v>
      </c>
      <c r="C324">
        <v>139</v>
      </c>
      <c r="D324" t="s">
        <v>1031</v>
      </c>
      <c r="E324" t="s">
        <v>1097</v>
      </c>
      <c r="F324">
        <v>141</v>
      </c>
      <c r="G324">
        <v>3.1</v>
      </c>
      <c r="H324">
        <f>ROUND(Calls[[#This Row],[Satisfactory Rating]],0)</f>
        <v>3</v>
      </c>
      <c r="I324" t="str" cm="1">
        <f t="array" ref="I324">_xlfn.IFS(Calls[[#This Row],[Duration (Min)]]&lt;=30,"Under 30 mins",Calls[[#This Row],[Duration (Min)]]&lt;=60,"Under 1h",Calls[[#This Row],[Duration (Min)]]&lt;=120,"Under 2",TRUE,"More than 2h")</f>
        <v>More than 2h</v>
      </c>
      <c r="J324">
        <f>IF(MONTH(Calls[[#This Row],[Date of Call]])&lt;=3,YEAR(Calls[[#This Row],[Date of Call]]),YEAR(Calls[[#This Row],[Date of Call]])+1)</f>
        <v>2025</v>
      </c>
      <c r="K324" t="str">
        <f>TEXT(Calls[[#This Row],[Date of Call]],"dddd")</f>
        <v>Thursday</v>
      </c>
      <c r="L324" t="str">
        <f>TEXT(Calls[[#This Row],[Date of Call]],"mmm")</f>
        <v>Mar</v>
      </c>
    </row>
    <row r="325" spans="1:12" x14ac:dyDescent="0.3">
      <c r="A325" t="s">
        <v>329</v>
      </c>
      <c r="B325" t="s">
        <v>1025</v>
      </c>
      <c r="C325">
        <v>147</v>
      </c>
      <c r="D325" t="s">
        <v>1027</v>
      </c>
      <c r="E325" t="s">
        <v>1097</v>
      </c>
      <c r="F325">
        <v>77</v>
      </c>
      <c r="G325">
        <v>4.0999999999999996</v>
      </c>
      <c r="H325">
        <f>ROUND(Calls[[#This Row],[Satisfactory Rating]],0)</f>
        <v>4</v>
      </c>
      <c r="I325" t="str" cm="1">
        <f t="array" ref="I325">_xlfn.IFS(Calls[[#This Row],[Duration (Min)]]&lt;=30,"Under 30 mins",Calls[[#This Row],[Duration (Min)]]&lt;=60,"Under 1h",Calls[[#This Row],[Duration (Min)]]&lt;=120,"Under 2",TRUE,"More than 2h")</f>
        <v>More than 2h</v>
      </c>
      <c r="J325">
        <f>IF(MONTH(Calls[[#This Row],[Date of Call]])&lt;=3,YEAR(Calls[[#This Row],[Date of Call]]),YEAR(Calls[[#This Row],[Date of Call]])+1)</f>
        <v>2025</v>
      </c>
      <c r="K325" t="str">
        <f>TEXT(Calls[[#This Row],[Date of Call]],"dddd")</f>
        <v>Thursday</v>
      </c>
      <c r="L325" t="str">
        <f>TEXT(Calls[[#This Row],[Date of Call]],"mmm")</f>
        <v>Mar</v>
      </c>
    </row>
    <row r="326" spans="1:12" x14ac:dyDescent="0.3">
      <c r="A326" t="s">
        <v>330</v>
      </c>
      <c r="B326" t="s">
        <v>1006</v>
      </c>
      <c r="C326">
        <v>67</v>
      </c>
      <c r="D326" t="s">
        <v>1028</v>
      </c>
      <c r="E326" t="s">
        <v>1097</v>
      </c>
      <c r="F326">
        <v>39</v>
      </c>
      <c r="G326">
        <v>1.6</v>
      </c>
      <c r="H326">
        <f>ROUND(Calls[[#This Row],[Satisfactory Rating]],0)</f>
        <v>2</v>
      </c>
      <c r="I326" t="str" cm="1">
        <f t="array" ref="I326">_xlfn.IFS(Calls[[#This Row],[Duration (Min)]]&lt;=30,"Under 30 mins",Calls[[#This Row],[Duration (Min)]]&lt;=60,"Under 1h",Calls[[#This Row],[Duration (Min)]]&lt;=120,"Under 2",TRUE,"More than 2h")</f>
        <v>Under 2</v>
      </c>
      <c r="J326">
        <f>IF(MONTH(Calls[[#This Row],[Date of Call]])&lt;=3,YEAR(Calls[[#This Row],[Date of Call]]),YEAR(Calls[[#This Row],[Date of Call]])+1)</f>
        <v>2025</v>
      </c>
      <c r="K326" t="str">
        <f>TEXT(Calls[[#This Row],[Date of Call]],"dddd")</f>
        <v>Thursday</v>
      </c>
      <c r="L326" t="str">
        <f>TEXT(Calls[[#This Row],[Date of Call]],"mmm")</f>
        <v>Mar</v>
      </c>
    </row>
    <row r="327" spans="1:12" x14ac:dyDescent="0.3">
      <c r="A327" t="s">
        <v>331</v>
      </c>
      <c r="B327" t="s">
        <v>1023</v>
      </c>
      <c r="C327">
        <v>51</v>
      </c>
      <c r="D327" t="s">
        <v>1031</v>
      </c>
      <c r="E327" t="s">
        <v>1098</v>
      </c>
      <c r="F327">
        <v>108</v>
      </c>
      <c r="G327">
        <v>3.4</v>
      </c>
      <c r="H327">
        <f>ROUND(Calls[[#This Row],[Satisfactory Rating]],0)</f>
        <v>3</v>
      </c>
      <c r="I327" t="str" cm="1">
        <f t="array" ref="I327">_xlfn.IFS(Calls[[#This Row],[Duration (Min)]]&lt;=30,"Under 30 mins",Calls[[#This Row],[Duration (Min)]]&lt;=60,"Under 1h",Calls[[#This Row],[Duration (Min)]]&lt;=120,"Under 2",TRUE,"More than 2h")</f>
        <v>Under 1h</v>
      </c>
      <c r="J327">
        <f>IF(MONTH(Calls[[#This Row],[Date of Call]])&lt;=3,YEAR(Calls[[#This Row],[Date of Call]]),YEAR(Calls[[#This Row],[Date of Call]])+1)</f>
        <v>2025</v>
      </c>
      <c r="K327" t="str">
        <f>TEXT(Calls[[#This Row],[Date of Call]],"dddd")</f>
        <v>Friday</v>
      </c>
      <c r="L327" t="str">
        <f>TEXT(Calls[[#This Row],[Date of Call]],"mmm")</f>
        <v>Mar</v>
      </c>
    </row>
    <row r="328" spans="1:12" x14ac:dyDescent="0.3">
      <c r="A328" t="s">
        <v>332</v>
      </c>
      <c r="B328" t="s">
        <v>1020</v>
      </c>
      <c r="C328">
        <v>158</v>
      </c>
      <c r="D328" t="s">
        <v>1027</v>
      </c>
      <c r="E328" t="s">
        <v>1098</v>
      </c>
      <c r="F328">
        <v>145</v>
      </c>
      <c r="G328">
        <v>1</v>
      </c>
      <c r="H328">
        <f>ROUND(Calls[[#This Row],[Satisfactory Rating]],0)</f>
        <v>1</v>
      </c>
      <c r="I328" t="str" cm="1">
        <f t="array" ref="I328">_xlfn.IFS(Calls[[#This Row],[Duration (Min)]]&lt;=30,"Under 30 mins",Calls[[#This Row],[Duration (Min)]]&lt;=60,"Under 1h",Calls[[#This Row],[Duration (Min)]]&lt;=120,"Under 2",TRUE,"More than 2h")</f>
        <v>More than 2h</v>
      </c>
      <c r="J328">
        <f>IF(MONTH(Calls[[#This Row],[Date of Call]])&lt;=3,YEAR(Calls[[#This Row],[Date of Call]]),YEAR(Calls[[#This Row],[Date of Call]])+1)</f>
        <v>2025</v>
      </c>
      <c r="K328" t="str">
        <f>TEXT(Calls[[#This Row],[Date of Call]],"dddd")</f>
        <v>Friday</v>
      </c>
      <c r="L328" t="str">
        <f>TEXT(Calls[[#This Row],[Date of Call]],"mmm")</f>
        <v>Mar</v>
      </c>
    </row>
    <row r="329" spans="1:12" x14ac:dyDescent="0.3">
      <c r="A329" t="s">
        <v>333</v>
      </c>
      <c r="B329" t="s">
        <v>1017</v>
      </c>
      <c r="C329">
        <v>101</v>
      </c>
      <c r="D329" t="s">
        <v>1032</v>
      </c>
      <c r="E329" t="s">
        <v>1098</v>
      </c>
      <c r="F329">
        <v>81</v>
      </c>
      <c r="G329">
        <v>4.5</v>
      </c>
      <c r="H329">
        <f>ROUND(Calls[[#This Row],[Satisfactory Rating]],0)</f>
        <v>5</v>
      </c>
      <c r="I329" t="str" cm="1">
        <f t="array" ref="I329">_xlfn.IFS(Calls[[#This Row],[Duration (Min)]]&lt;=30,"Under 30 mins",Calls[[#This Row],[Duration (Min)]]&lt;=60,"Under 1h",Calls[[#This Row],[Duration (Min)]]&lt;=120,"Under 2",TRUE,"More than 2h")</f>
        <v>Under 2</v>
      </c>
      <c r="J329">
        <f>IF(MONTH(Calls[[#This Row],[Date of Call]])&lt;=3,YEAR(Calls[[#This Row],[Date of Call]]),YEAR(Calls[[#This Row],[Date of Call]])+1)</f>
        <v>2025</v>
      </c>
      <c r="K329" t="str">
        <f>TEXT(Calls[[#This Row],[Date of Call]],"dddd")</f>
        <v>Friday</v>
      </c>
      <c r="L329" t="str">
        <f>TEXT(Calls[[#This Row],[Date of Call]],"mmm")</f>
        <v>Mar</v>
      </c>
    </row>
    <row r="330" spans="1:12" x14ac:dyDescent="0.3">
      <c r="A330" t="s">
        <v>334</v>
      </c>
      <c r="B330" t="s">
        <v>1007</v>
      </c>
      <c r="C330">
        <v>122</v>
      </c>
      <c r="D330" t="s">
        <v>1030</v>
      </c>
      <c r="E330" t="s">
        <v>1098</v>
      </c>
      <c r="F330">
        <v>145</v>
      </c>
      <c r="G330">
        <v>1</v>
      </c>
      <c r="H330">
        <f>ROUND(Calls[[#This Row],[Satisfactory Rating]],0)</f>
        <v>1</v>
      </c>
      <c r="I330" t="str" cm="1">
        <f t="array" ref="I330">_xlfn.IFS(Calls[[#This Row],[Duration (Min)]]&lt;=30,"Under 30 mins",Calls[[#This Row],[Duration (Min)]]&lt;=60,"Under 1h",Calls[[#This Row],[Duration (Min)]]&lt;=120,"Under 2",TRUE,"More than 2h")</f>
        <v>More than 2h</v>
      </c>
      <c r="J330">
        <f>IF(MONTH(Calls[[#This Row],[Date of Call]])&lt;=3,YEAR(Calls[[#This Row],[Date of Call]]),YEAR(Calls[[#This Row],[Date of Call]])+1)</f>
        <v>2025</v>
      </c>
      <c r="K330" t="str">
        <f>TEXT(Calls[[#This Row],[Date of Call]],"dddd")</f>
        <v>Friday</v>
      </c>
      <c r="L330" t="str">
        <f>TEXT(Calls[[#This Row],[Date of Call]],"mmm")</f>
        <v>Mar</v>
      </c>
    </row>
    <row r="331" spans="1:12" x14ac:dyDescent="0.3">
      <c r="A331" t="s">
        <v>335</v>
      </c>
      <c r="B331" t="s">
        <v>1009</v>
      </c>
      <c r="C331">
        <v>142</v>
      </c>
      <c r="D331" t="s">
        <v>1029</v>
      </c>
      <c r="E331" t="s">
        <v>1098</v>
      </c>
      <c r="F331">
        <v>135</v>
      </c>
      <c r="G331">
        <v>1.3</v>
      </c>
      <c r="H331">
        <f>ROUND(Calls[[#This Row],[Satisfactory Rating]],0)</f>
        <v>1</v>
      </c>
      <c r="I331" t="str" cm="1">
        <f t="array" ref="I331">_xlfn.IFS(Calls[[#This Row],[Duration (Min)]]&lt;=30,"Under 30 mins",Calls[[#This Row],[Duration (Min)]]&lt;=60,"Under 1h",Calls[[#This Row],[Duration (Min)]]&lt;=120,"Under 2",TRUE,"More than 2h")</f>
        <v>More than 2h</v>
      </c>
      <c r="J331">
        <f>IF(MONTH(Calls[[#This Row],[Date of Call]])&lt;=3,YEAR(Calls[[#This Row],[Date of Call]]),YEAR(Calls[[#This Row],[Date of Call]])+1)</f>
        <v>2025</v>
      </c>
      <c r="K331" t="str">
        <f>TEXT(Calls[[#This Row],[Date of Call]],"dddd")</f>
        <v>Friday</v>
      </c>
      <c r="L331" t="str">
        <f>TEXT(Calls[[#This Row],[Date of Call]],"mmm")</f>
        <v>Mar</v>
      </c>
    </row>
    <row r="332" spans="1:12" x14ac:dyDescent="0.3">
      <c r="A332" t="s">
        <v>336</v>
      </c>
      <c r="B332" t="s">
        <v>1023</v>
      </c>
      <c r="C332">
        <v>61</v>
      </c>
      <c r="D332" t="s">
        <v>1029</v>
      </c>
      <c r="E332" t="s">
        <v>1099</v>
      </c>
      <c r="F332">
        <v>110</v>
      </c>
      <c r="G332">
        <v>3.3</v>
      </c>
      <c r="H332">
        <f>ROUND(Calls[[#This Row],[Satisfactory Rating]],0)</f>
        <v>3</v>
      </c>
      <c r="I332" t="str" cm="1">
        <f t="array" ref="I332">_xlfn.IFS(Calls[[#This Row],[Duration (Min)]]&lt;=30,"Under 30 mins",Calls[[#This Row],[Duration (Min)]]&lt;=60,"Under 1h",Calls[[#This Row],[Duration (Min)]]&lt;=120,"Under 2",TRUE,"More than 2h")</f>
        <v>Under 2</v>
      </c>
      <c r="J332">
        <f>IF(MONTH(Calls[[#This Row],[Date of Call]])&lt;=3,YEAR(Calls[[#This Row],[Date of Call]]),YEAR(Calls[[#This Row],[Date of Call]])+1)</f>
        <v>2025</v>
      </c>
      <c r="K332" t="str">
        <f>TEXT(Calls[[#This Row],[Date of Call]],"dddd")</f>
        <v>Saturday</v>
      </c>
      <c r="L332" t="str">
        <f>TEXT(Calls[[#This Row],[Date of Call]],"mmm")</f>
        <v>Mar</v>
      </c>
    </row>
    <row r="333" spans="1:12" x14ac:dyDescent="0.3">
      <c r="A333" t="s">
        <v>337</v>
      </c>
      <c r="B333" t="s">
        <v>1006</v>
      </c>
      <c r="C333">
        <v>102</v>
      </c>
      <c r="D333" t="s">
        <v>1028</v>
      </c>
      <c r="E333" t="s">
        <v>1099</v>
      </c>
      <c r="F333">
        <v>99</v>
      </c>
      <c r="G333">
        <v>3.7</v>
      </c>
      <c r="H333">
        <f>ROUND(Calls[[#This Row],[Satisfactory Rating]],0)</f>
        <v>4</v>
      </c>
      <c r="I333" t="str" cm="1">
        <f t="array" ref="I333">_xlfn.IFS(Calls[[#This Row],[Duration (Min)]]&lt;=30,"Under 30 mins",Calls[[#This Row],[Duration (Min)]]&lt;=60,"Under 1h",Calls[[#This Row],[Duration (Min)]]&lt;=120,"Under 2",TRUE,"More than 2h")</f>
        <v>Under 2</v>
      </c>
      <c r="J333">
        <f>IF(MONTH(Calls[[#This Row],[Date of Call]])&lt;=3,YEAR(Calls[[#This Row],[Date of Call]]),YEAR(Calls[[#This Row],[Date of Call]])+1)</f>
        <v>2025</v>
      </c>
      <c r="K333" t="str">
        <f>TEXT(Calls[[#This Row],[Date of Call]],"dddd")</f>
        <v>Saturday</v>
      </c>
      <c r="L333" t="str">
        <f>TEXT(Calls[[#This Row],[Date of Call]],"mmm")</f>
        <v>Mar</v>
      </c>
    </row>
    <row r="334" spans="1:12" x14ac:dyDescent="0.3">
      <c r="A334" t="s">
        <v>338</v>
      </c>
      <c r="B334" t="s">
        <v>1017</v>
      </c>
      <c r="C334">
        <v>137</v>
      </c>
      <c r="D334" t="s">
        <v>1032</v>
      </c>
      <c r="E334" t="s">
        <v>1099</v>
      </c>
      <c r="F334">
        <v>149</v>
      </c>
      <c r="G334">
        <v>2.1</v>
      </c>
      <c r="H334">
        <f>ROUND(Calls[[#This Row],[Satisfactory Rating]],0)</f>
        <v>2</v>
      </c>
      <c r="I334" t="str" cm="1">
        <f t="array" ref="I334">_xlfn.IFS(Calls[[#This Row],[Duration (Min)]]&lt;=30,"Under 30 mins",Calls[[#This Row],[Duration (Min)]]&lt;=60,"Under 1h",Calls[[#This Row],[Duration (Min)]]&lt;=120,"Under 2",TRUE,"More than 2h")</f>
        <v>More than 2h</v>
      </c>
      <c r="J334">
        <f>IF(MONTH(Calls[[#This Row],[Date of Call]])&lt;=3,YEAR(Calls[[#This Row],[Date of Call]]),YEAR(Calls[[#This Row],[Date of Call]])+1)</f>
        <v>2025</v>
      </c>
      <c r="K334" t="str">
        <f>TEXT(Calls[[#This Row],[Date of Call]],"dddd")</f>
        <v>Saturday</v>
      </c>
      <c r="L334" t="str">
        <f>TEXT(Calls[[#This Row],[Date of Call]],"mmm")</f>
        <v>Mar</v>
      </c>
    </row>
    <row r="335" spans="1:12" x14ac:dyDescent="0.3">
      <c r="A335" t="s">
        <v>339</v>
      </c>
      <c r="B335" t="s">
        <v>1019</v>
      </c>
      <c r="C335">
        <v>98</v>
      </c>
      <c r="D335" t="s">
        <v>1031</v>
      </c>
      <c r="E335" t="s">
        <v>1099</v>
      </c>
      <c r="F335">
        <v>53</v>
      </c>
      <c r="G335">
        <v>2.8</v>
      </c>
      <c r="H335">
        <f>ROUND(Calls[[#This Row],[Satisfactory Rating]],0)</f>
        <v>3</v>
      </c>
      <c r="I335" t="str" cm="1">
        <f t="array" ref="I335">_xlfn.IFS(Calls[[#This Row],[Duration (Min)]]&lt;=30,"Under 30 mins",Calls[[#This Row],[Duration (Min)]]&lt;=60,"Under 1h",Calls[[#This Row],[Duration (Min)]]&lt;=120,"Under 2",TRUE,"More than 2h")</f>
        <v>Under 2</v>
      </c>
      <c r="J335">
        <f>IF(MONTH(Calls[[#This Row],[Date of Call]])&lt;=3,YEAR(Calls[[#This Row],[Date of Call]]),YEAR(Calls[[#This Row],[Date of Call]])+1)</f>
        <v>2025</v>
      </c>
      <c r="K335" t="str">
        <f>TEXT(Calls[[#This Row],[Date of Call]],"dddd")</f>
        <v>Saturday</v>
      </c>
      <c r="L335" t="str">
        <f>TEXT(Calls[[#This Row],[Date of Call]],"mmm")</f>
        <v>Mar</v>
      </c>
    </row>
    <row r="336" spans="1:12" x14ac:dyDescent="0.3">
      <c r="A336" t="s">
        <v>340</v>
      </c>
      <c r="B336" t="s">
        <v>1014</v>
      </c>
      <c r="C336">
        <v>146</v>
      </c>
      <c r="D336" t="s">
        <v>1032</v>
      </c>
      <c r="E336" t="s">
        <v>1099</v>
      </c>
      <c r="F336">
        <v>27</v>
      </c>
      <c r="G336">
        <v>4</v>
      </c>
      <c r="H336">
        <f>ROUND(Calls[[#This Row],[Satisfactory Rating]],0)</f>
        <v>4</v>
      </c>
      <c r="I336" t="str" cm="1">
        <f t="array" ref="I336">_xlfn.IFS(Calls[[#This Row],[Duration (Min)]]&lt;=30,"Under 30 mins",Calls[[#This Row],[Duration (Min)]]&lt;=60,"Under 1h",Calls[[#This Row],[Duration (Min)]]&lt;=120,"Under 2",TRUE,"More than 2h")</f>
        <v>More than 2h</v>
      </c>
      <c r="J336">
        <f>IF(MONTH(Calls[[#This Row],[Date of Call]])&lt;=3,YEAR(Calls[[#This Row],[Date of Call]]),YEAR(Calls[[#This Row],[Date of Call]])+1)</f>
        <v>2025</v>
      </c>
      <c r="K336" t="str">
        <f>TEXT(Calls[[#This Row],[Date of Call]],"dddd")</f>
        <v>Saturday</v>
      </c>
      <c r="L336" t="str">
        <f>TEXT(Calls[[#This Row],[Date of Call]],"mmm")</f>
        <v>Mar</v>
      </c>
    </row>
    <row r="337" spans="1:12" x14ac:dyDescent="0.3">
      <c r="A337" t="s">
        <v>341</v>
      </c>
      <c r="B337" t="s">
        <v>1009</v>
      </c>
      <c r="C337">
        <v>38</v>
      </c>
      <c r="D337" t="s">
        <v>1030</v>
      </c>
      <c r="E337" t="s">
        <v>1100</v>
      </c>
      <c r="F337">
        <v>100</v>
      </c>
      <c r="G337">
        <v>3.7</v>
      </c>
      <c r="H337">
        <f>ROUND(Calls[[#This Row],[Satisfactory Rating]],0)</f>
        <v>4</v>
      </c>
      <c r="I337" t="str" cm="1">
        <f t="array" ref="I337">_xlfn.IFS(Calls[[#This Row],[Duration (Min)]]&lt;=30,"Under 30 mins",Calls[[#This Row],[Duration (Min)]]&lt;=60,"Under 1h",Calls[[#This Row],[Duration (Min)]]&lt;=120,"Under 2",TRUE,"More than 2h")</f>
        <v>Under 1h</v>
      </c>
      <c r="J337">
        <f>IF(MONTH(Calls[[#This Row],[Date of Call]])&lt;=3,YEAR(Calls[[#This Row],[Date of Call]]),YEAR(Calls[[#This Row],[Date of Call]])+1)</f>
        <v>2025</v>
      </c>
      <c r="K337" t="str">
        <f>TEXT(Calls[[#This Row],[Date of Call]],"dddd")</f>
        <v>Sunday</v>
      </c>
      <c r="L337" t="str">
        <f>TEXT(Calls[[#This Row],[Date of Call]],"mmm")</f>
        <v>Mar</v>
      </c>
    </row>
    <row r="338" spans="1:12" x14ac:dyDescent="0.3">
      <c r="A338" t="s">
        <v>342</v>
      </c>
      <c r="B338" t="s">
        <v>1007</v>
      </c>
      <c r="C338">
        <v>155</v>
      </c>
      <c r="D338" t="s">
        <v>1027</v>
      </c>
      <c r="E338" t="s">
        <v>1100</v>
      </c>
      <c r="F338">
        <v>60</v>
      </c>
      <c r="G338">
        <v>2.4</v>
      </c>
      <c r="H338">
        <f>ROUND(Calls[[#This Row],[Satisfactory Rating]],0)</f>
        <v>2</v>
      </c>
      <c r="I338" t="str" cm="1">
        <f t="array" ref="I338">_xlfn.IFS(Calls[[#This Row],[Duration (Min)]]&lt;=30,"Under 30 mins",Calls[[#This Row],[Duration (Min)]]&lt;=60,"Under 1h",Calls[[#This Row],[Duration (Min)]]&lt;=120,"Under 2",TRUE,"More than 2h")</f>
        <v>More than 2h</v>
      </c>
      <c r="J338">
        <f>IF(MONTH(Calls[[#This Row],[Date of Call]])&lt;=3,YEAR(Calls[[#This Row],[Date of Call]]),YEAR(Calls[[#This Row],[Date of Call]])+1)</f>
        <v>2025</v>
      </c>
      <c r="K338" t="str">
        <f>TEXT(Calls[[#This Row],[Date of Call]],"dddd")</f>
        <v>Sunday</v>
      </c>
      <c r="L338" t="str">
        <f>TEXT(Calls[[#This Row],[Date of Call]],"mmm")</f>
        <v>Mar</v>
      </c>
    </row>
    <row r="339" spans="1:12" x14ac:dyDescent="0.3">
      <c r="A339" t="s">
        <v>343</v>
      </c>
      <c r="B339" t="s">
        <v>1018</v>
      </c>
      <c r="C339">
        <v>12</v>
      </c>
      <c r="D339" t="s">
        <v>1030</v>
      </c>
      <c r="E339" t="s">
        <v>1100</v>
      </c>
      <c r="F339">
        <v>115</v>
      </c>
      <c r="G339">
        <v>3</v>
      </c>
      <c r="H339">
        <f>ROUND(Calls[[#This Row],[Satisfactory Rating]],0)</f>
        <v>3</v>
      </c>
      <c r="I339" t="str" cm="1">
        <f t="array" ref="I339">_xlfn.IFS(Calls[[#This Row],[Duration (Min)]]&lt;=30,"Under 30 mins",Calls[[#This Row],[Duration (Min)]]&lt;=60,"Under 1h",Calls[[#This Row],[Duration (Min)]]&lt;=120,"Under 2",TRUE,"More than 2h")</f>
        <v>Under 30 mins</v>
      </c>
      <c r="J339">
        <f>IF(MONTH(Calls[[#This Row],[Date of Call]])&lt;=3,YEAR(Calls[[#This Row],[Date of Call]]),YEAR(Calls[[#This Row],[Date of Call]])+1)</f>
        <v>2025</v>
      </c>
      <c r="K339" t="str">
        <f>TEXT(Calls[[#This Row],[Date of Call]],"dddd")</f>
        <v>Sunday</v>
      </c>
      <c r="L339" t="str">
        <f>TEXT(Calls[[#This Row],[Date of Call]],"mmm")</f>
        <v>Mar</v>
      </c>
    </row>
    <row r="340" spans="1:12" x14ac:dyDescent="0.3">
      <c r="A340" t="s">
        <v>344</v>
      </c>
      <c r="B340" t="s">
        <v>1024</v>
      </c>
      <c r="C340">
        <v>131</v>
      </c>
      <c r="D340" t="s">
        <v>1030</v>
      </c>
      <c r="E340" t="s">
        <v>1100</v>
      </c>
      <c r="F340">
        <v>85</v>
      </c>
      <c r="G340">
        <v>2.9</v>
      </c>
      <c r="H340">
        <f>ROUND(Calls[[#This Row],[Satisfactory Rating]],0)</f>
        <v>3</v>
      </c>
      <c r="I340" t="str" cm="1">
        <f t="array" ref="I340">_xlfn.IFS(Calls[[#This Row],[Duration (Min)]]&lt;=30,"Under 30 mins",Calls[[#This Row],[Duration (Min)]]&lt;=60,"Under 1h",Calls[[#This Row],[Duration (Min)]]&lt;=120,"Under 2",TRUE,"More than 2h")</f>
        <v>More than 2h</v>
      </c>
      <c r="J340">
        <f>IF(MONTH(Calls[[#This Row],[Date of Call]])&lt;=3,YEAR(Calls[[#This Row],[Date of Call]]),YEAR(Calls[[#This Row],[Date of Call]])+1)</f>
        <v>2025</v>
      </c>
      <c r="K340" t="str">
        <f>TEXT(Calls[[#This Row],[Date of Call]],"dddd")</f>
        <v>Sunday</v>
      </c>
      <c r="L340" t="str">
        <f>TEXT(Calls[[#This Row],[Date of Call]],"mmm")</f>
        <v>Mar</v>
      </c>
    </row>
    <row r="341" spans="1:12" x14ac:dyDescent="0.3">
      <c r="A341" t="s">
        <v>345</v>
      </c>
      <c r="B341" t="s">
        <v>1019</v>
      </c>
      <c r="C341">
        <v>144</v>
      </c>
      <c r="D341" t="s">
        <v>1030</v>
      </c>
      <c r="E341" t="s">
        <v>1100</v>
      </c>
      <c r="F341">
        <v>51</v>
      </c>
      <c r="G341">
        <v>2.6</v>
      </c>
      <c r="H341">
        <f>ROUND(Calls[[#This Row],[Satisfactory Rating]],0)</f>
        <v>3</v>
      </c>
      <c r="I341" t="str" cm="1">
        <f t="array" ref="I341">_xlfn.IFS(Calls[[#This Row],[Duration (Min)]]&lt;=30,"Under 30 mins",Calls[[#This Row],[Duration (Min)]]&lt;=60,"Under 1h",Calls[[#This Row],[Duration (Min)]]&lt;=120,"Under 2",TRUE,"More than 2h")</f>
        <v>More than 2h</v>
      </c>
      <c r="J341">
        <f>IF(MONTH(Calls[[#This Row],[Date of Call]])&lt;=3,YEAR(Calls[[#This Row],[Date of Call]]),YEAR(Calls[[#This Row],[Date of Call]])+1)</f>
        <v>2025</v>
      </c>
      <c r="K341" t="str">
        <f>TEXT(Calls[[#This Row],[Date of Call]],"dddd")</f>
        <v>Sunday</v>
      </c>
      <c r="L341" t="str">
        <f>TEXT(Calls[[#This Row],[Date of Call]],"mmm")</f>
        <v>Mar</v>
      </c>
    </row>
    <row r="342" spans="1:12" x14ac:dyDescent="0.3">
      <c r="A342" t="s">
        <v>346</v>
      </c>
      <c r="B342" t="s">
        <v>1020</v>
      </c>
      <c r="C342">
        <v>29</v>
      </c>
      <c r="D342" t="s">
        <v>1027</v>
      </c>
      <c r="E342" t="s">
        <v>1101</v>
      </c>
      <c r="F342">
        <v>76</v>
      </c>
      <c r="G342">
        <v>3</v>
      </c>
      <c r="H342">
        <f>ROUND(Calls[[#This Row],[Satisfactory Rating]],0)</f>
        <v>3</v>
      </c>
      <c r="I342" t="str" cm="1">
        <f t="array" ref="I342">_xlfn.IFS(Calls[[#This Row],[Duration (Min)]]&lt;=30,"Under 30 mins",Calls[[#This Row],[Duration (Min)]]&lt;=60,"Under 1h",Calls[[#This Row],[Duration (Min)]]&lt;=120,"Under 2",TRUE,"More than 2h")</f>
        <v>Under 30 mins</v>
      </c>
      <c r="J342">
        <f>IF(MONTH(Calls[[#This Row],[Date of Call]])&lt;=3,YEAR(Calls[[#This Row],[Date of Call]]),YEAR(Calls[[#This Row],[Date of Call]])+1)</f>
        <v>2025</v>
      </c>
      <c r="K342" t="str">
        <f>TEXT(Calls[[#This Row],[Date of Call]],"dddd")</f>
        <v>Monday</v>
      </c>
      <c r="L342" t="str">
        <f>TEXT(Calls[[#This Row],[Date of Call]],"mmm")</f>
        <v>Mar</v>
      </c>
    </row>
    <row r="343" spans="1:12" x14ac:dyDescent="0.3">
      <c r="A343" t="s">
        <v>347</v>
      </c>
      <c r="B343" t="s">
        <v>1011</v>
      </c>
      <c r="C343">
        <v>23</v>
      </c>
      <c r="D343" t="s">
        <v>1029</v>
      </c>
      <c r="E343" t="s">
        <v>1101</v>
      </c>
      <c r="F343">
        <v>134</v>
      </c>
      <c r="G343">
        <v>3.5</v>
      </c>
      <c r="H343">
        <f>ROUND(Calls[[#This Row],[Satisfactory Rating]],0)</f>
        <v>4</v>
      </c>
      <c r="I343" t="str" cm="1">
        <f t="array" ref="I343">_xlfn.IFS(Calls[[#This Row],[Duration (Min)]]&lt;=30,"Under 30 mins",Calls[[#This Row],[Duration (Min)]]&lt;=60,"Under 1h",Calls[[#This Row],[Duration (Min)]]&lt;=120,"Under 2",TRUE,"More than 2h")</f>
        <v>Under 30 mins</v>
      </c>
      <c r="J343">
        <f>IF(MONTH(Calls[[#This Row],[Date of Call]])&lt;=3,YEAR(Calls[[#This Row],[Date of Call]]),YEAR(Calls[[#This Row],[Date of Call]])+1)</f>
        <v>2025</v>
      </c>
      <c r="K343" t="str">
        <f>TEXT(Calls[[#This Row],[Date of Call]],"dddd")</f>
        <v>Monday</v>
      </c>
      <c r="L343" t="str">
        <f>TEXT(Calls[[#This Row],[Date of Call]],"mmm")</f>
        <v>Mar</v>
      </c>
    </row>
    <row r="344" spans="1:12" x14ac:dyDescent="0.3">
      <c r="A344" t="s">
        <v>348</v>
      </c>
      <c r="B344" t="s">
        <v>1019</v>
      </c>
      <c r="C344">
        <v>20</v>
      </c>
      <c r="D344" t="s">
        <v>1027</v>
      </c>
      <c r="E344" t="s">
        <v>1101</v>
      </c>
      <c r="F344">
        <v>101</v>
      </c>
      <c r="G344">
        <v>4.2</v>
      </c>
      <c r="H344">
        <f>ROUND(Calls[[#This Row],[Satisfactory Rating]],0)</f>
        <v>4</v>
      </c>
      <c r="I344" t="str" cm="1">
        <f t="array" ref="I344">_xlfn.IFS(Calls[[#This Row],[Duration (Min)]]&lt;=30,"Under 30 mins",Calls[[#This Row],[Duration (Min)]]&lt;=60,"Under 1h",Calls[[#This Row],[Duration (Min)]]&lt;=120,"Under 2",TRUE,"More than 2h")</f>
        <v>Under 30 mins</v>
      </c>
      <c r="J344">
        <f>IF(MONTH(Calls[[#This Row],[Date of Call]])&lt;=3,YEAR(Calls[[#This Row],[Date of Call]]),YEAR(Calls[[#This Row],[Date of Call]])+1)</f>
        <v>2025</v>
      </c>
      <c r="K344" t="str">
        <f>TEXT(Calls[[#This Row],[Date of Call]],"dddd")</f>
        <v>Monday</v>
      </c>
      <c r="L344" t="str">
        <f>TEXT(Calls[[#This Row],[Date of Call]],"mmm")</f>
        <v>Mar</v>
      </c>
    </row>
    <row r="345" spans="1:12" x14ac:dyDescent="0.3">
      <c r="A345" t="s">
        <v>349</v>
      </c>
      <c r="B345" t="s">
        <v>1021</v>
      </c>
      <c r="C345">
        <v>117</v>
      </c>
      <c r="D345" t="s">
        <v>1026</v>
      </c>
      <c r="E345" t="s">
        <v>1101</v>
      </c>
      <c r="F345">
        <v>57</v>
      </c>
      <c r="G345">
        <v>3.9</v>
      </c>
      <c r="H345">
        <f>ROUND(Calls[[#This Row],[Satisfactory Rating]],0)</f>
        <v>4</v>
      </c>
      <c r="I345" t="str" cm="1">
        <f t="array" ref="I345">_xlfn.IFS(Calls[[#This Row],[Duration (Min)]]&lt;=30,"Under 30 mins",Calls[[#This Row],[Duration (Min)]]&lt;=60,"Under 1h",Calls[[#This Row],[Duration (Min)]]&lt;=120,"Under 2",TRUE,"More than 2h")</f>
        <v>Under 2</v>
      </c>
      <c r="J345">
        <f>IF(MONTH(Calls[[#This Row],[Date of Call]])&lt;=3,YEAR(Calls[[#This Row],[Date of Call]]),YEAR(Calls[[#This Row],[Date of Call]])+1)</f>
        <v>2025</v>
      </c>
      <c r="K345" t="str">
        <f>TEXT(Calls[[#This Row],[Date of Call]],"dddd")</f>
        <v>Monday</v>
      </c>
      <c r="L345" t="str">
        <f>TEXT(Calls[[#This Row],[Date of Call]],"mmm")</f>
        <v>Mar</v>
      </c>
    </row>
    <row r="346" spans="1:12" x14ac:dyDescent="0.3">
      <c r="A346" t="s">
        <v>350</v>
      </c>
      <c r="B346" t="s">
        <v>1006</v>
      </c>
      <c r="C346">
        <v>48</v>
      </c>
      <c r="D346" t="s">
        <v>1030</v>
      </c>
      <c r="E346" t="s">
        <v>1101</v>
      </c>
      <c r="F346">
        <v>136</v>
      </c>
      <c r="G346">
        <v>2.6</v>
      </c>
      <c r="H346">
        <f>ROUND(Calls[[#This Row],[Satisfactory Rating]],0)</f>
        <v>3</v>
      </c>
      <c r="I346" t="str" cm="1">
        <f t="array" ref="I346">_xlfn.IFS(Calls[[#This Row],[Duration (Min)]]&lt;=30,"Under 30 mins",Calls[[#This Row],[Duration (Min)]]&lt;=60,"Under 1h",Calls[[#This Row],[Duration (Min)]]&lt;=120,"Under 2",TRUE,"More than 2h")</f>
        <v>Under 1h</v>
      </c>
      <c r="J346">
        <f>IF(MONTH(Calls[[#This Row],[Date of Call]])&lt;=3,YEAR(Calls[[#This Row],[Date of Call]]),YEAR(Calls[[#This Row],[Date of Call]])+1)</f>
        <v>2025</v>
      </c>
      <c r="K346" t="str">
        <f>TEXT(Calls[[#This Row],[Date of Call]],"dddd")</f>
        <v>Monday</v>
      </c>
      <c r="L346" t="str">
        <f>TEXT(Calls[[#This Row],[Date of Call]],"mmm")</f>
        <v>Mar</v>
      </c>
    </row>
    <row r="347" spans="1:12" x14ac:dyDescent="0.3">
      <c r="A347" t="s">
        <v>351</v>
      </c>
      <c r="B347" t="s">
        <v>1016</v>
      </c>
      <c r="C347">
        <v>127</v>
      </c>
      <c r="D347" t="s">
        <v>1027</v>
      </c>
      <c r="E347" t="s">
        <v>1102</v>
      </c>
      <c r="F347">
        <v>58</v>
      </c>
      <c r="G347">
        <v>1.5</v>
      </c>
      <c r="H347">
        <f>ROUND(Calls[[#This Row],[Satisfactory Rating]],0)</f>
        <v>2</v>
      </c>
      <c r="I347" t="str" cm="1">
        <f t="array" ref="I347">_xlfn.IFS(Calls[[#This Row],[Duration (Min)]]&lt;=30,"Under 30 mins",Calls[[#This Row],[Duration (Min)]]&lt;=60,"Under 1h",Calls[[#This Row],[Duration (Min)]]&lt;=120,"Under 2",TRUE,"More than 2h")</f>
        <v>More than 2h</v>
      </c>
      <c r="J347">
        <f>IF(MONTH(Calls[[#This Row],[Date of Call]])&lt;=3,YEAR(Calls[[#This Row],[Date of Call]]),YEAR(Calls[[#This Row],[Date of Call]])+1)</f>
        <v>2025</v>
      </c>
      <c r="K347" t="str">
        <f>TEXT(Calls[[#This Row],[Date of Call]],"dddd")</f>
        <v>Tuesday</v>
      </c>
      <c r="L347" t="str">
        <f>TEXT(Calls[[#This Row],[Date of Call]],"mmm")</f>
        <v>Mar</v>
      </c>
    </row>
    <row r="348" spans="1:12" x14ac:dyDescent="0.3">
      <c r="A348" t="s">
        <v>352</v>
      </c>
      <c r="B348" t="s">
        <v>1020</v>
      </c>
      <c r="C348">
        <v>27</v>
      </c>
      <c r="D348" t="s">
        <v>1028</v>
      </c>
      <c r="E348" t="s">
        <v>1102</v>
      </c>
      <c r="F348">
        <v>54</v>
      </c>
      <c r="G348">
        <v>4.9000000000000004</v>
      </c>
      <c r="H348">
        <f>ROUND(Calls[[#This Row],[Satisfactory Rating]],0)</f>
        <v>5</v>
      </c>
      <c r="I348" t="str" cm="1">
        <f t="array" ref="I348">_xlfn.IFS(Calls[[#This Row],[Duration (Min)]]&lt;=30,"Under 30 mins",Calls[[#This Row],[Duration (Min)]]&lt;=60,"Under 1h",Calls[[#This Row],[Duration (Min)]]&lt;=120,"Under 2",TRUE,"More than 2h")</f>
        <v>Under 30 mins</v>
      </c>
      <c r="J348">
        <f>IF(MONTH(Calls[[#This Row],[Date of Call]])&lt;=3,YEAR(Calls[[#This Row],[Date of Call]]),YEAR(Calls[[#This Row],[Date of Call]])+1)</f>
        <v>2025</v>
      </c>
      <c r="K348" t="str">
        <f>TEXT(Calls[[#This Row],[Date of Call]],"dddd")</f>
        <v>Tuesday</v>
      </c>
      <c r="L348" t="str">
        <f>TEXT(Calls[[#This Row],[Date of Call]],"mmm")</f>
        <v>Mar</v>
      </c>
    </row>
    <row r="349" spans="1:12" x14ac:dyDescent="0.3">
      <c r="A349" t="s">
        <v>353</v>
      </c>
      <c r="B349" t="s">
        <v>1021</v>
      </c>
      <c r="C349">
        <v>60</v>
      </c>
      <c r="D349" t="s">
        <v>1028</v>
      </c>
      <c r="E349" t="s">
        <v>1102</v>
      </c>
      <c r="F349">
        <v>111</v>
      </c>
      <c r="G349">
        <v>4.8</v>
      </c>
      <c r="H349">
        <f>ROUND(Calls[[#This Row],[Satisfactory Rating]],0)</f>
        <v>5</v>
      </c>
      <c r="I349" t="str" cm="1">
        <f t="array" ref="I349">_xlfn.IFS(Calls[[#This Row],[Duration (Min)]]&lt;=30,"Under 30 mins",Calls[[#This Row],[Duration (Min)]]&lt;=60,"Under 1h",Calls[[#This Row],[Duration (Min)]]&lt;=120,"Under 2",TRUE,"More than 2h")</f>
        <v>Under 1h</v>
      </c>
      <c r="J349">
        <f>IF(MONTH(Calls[[#This Row],[Date of Call]])&lt;=3,YEAR(Calls[[#This Row],[Date of Call]]),YEAR(Calls[[#This Row],[Date of Call]])+1)</f>
        <v>2025</v>
      </c>
      <c r="K349" t="str">
        <f>TEXT(Calls[[#This Row],[Date of Call]],"dddd")</f>
        <v>Tuesday</v>
      </c>
      <c r="L349" t="str">
        <f>TEXT(Calls[[#This Row],[Date of Call]],"mmm")</f>
        <v>Mar</v>
      </c>
    </row>
    <row r="350" spans="1:12" x14ac:dyDescent="0.3">
      <c r="A350" t="s">
        <v>354</v>
      </c>
      <c r="B350" t="s">
        <v>1024</v>
      </c>
      <c r="C350">
        <v>131</v>
      </c>
      <c r="D350" t="s">
        <v>1027</v>
      </c>
      <c r="E350" t="s">
        <v>1102</v>
      </c>
      <c r="F350">
        <v>46</v>
      </c>
      <c r="G350">
        <v>3.6</v>
      </c>
      <c r="H350">
        <f>ROUND(Calls[[#This Row],[Satisfactory Rating]],0)</f>
        <v>4</v>
      </c>
      <c r="I350" t="str" cm="1">
        <f t="array" ref="I350">_xlfn.IFS(Calls[[#This Row],[Duration (Min)]]&lt;=30,"Under 30 mins",Calls[[#This Row],[Duration (Min)]]&lt;=60,"Under 1h",Calls[[#This Row],[Duration (Min)]]&lt;=120,"Under 2",TRUE,"More than 2h")</f>
        <v>More than 2h</v>
      </c>
      <c r="J350">
        <f>IF(MONTH(Calls[[#This Row],[Date of Call]])&lt;=3,YEAR(Calls[[#This Row],[Date of Call]]),YEAR(Calls[[#This Row],[Date of Call]])+1)</f>
        <v>2025</v>
      </c>
      <c r="K350" t="str">
        <f>TEXT(Calls[[#This Row],[Date of Call]],"dddd")</f>
        <v>Tuesday</v>
      </c>
      <c r="L350" t="str">
        <f>TEXT(Calls[[#This Row],[Date of Call]],"mmm")</f>
        <v>Mar</v>
      </c>
    </row>
    <row r="351" spans="1:12" x14ac:dyDescent="0.3">
      <c r="A351" t="s">
        <v>355</v>
      </c>
      <c r="B351" t="s">
        <v>1015</v>
      </c>
      <c r="C351">
        <v>107</v>
      </c>
      <c r="D351" t="s">
        <v>1032</v>
      </c>
      <c r="E351" t="s">
        <v>1102</v>
      </c>
      <c r="F351">
        <v>105</v>
      </c>
      <c r="G351">
        <v>1.7</v>
      </c>
      <c r="H351">
        <f>ROUND(Calls[[#This Row],[Satisfactory Rating]],0)</f>
        <v>2</v>
      </c>
      <c r="I351" t="str" cm="1">
        <f t="array" ref="I351">_xlfn.IFS(Calls[[#This Row],[Duration (Min)]]&lt;=30,"Under 30 mins",Calls[[#This Row],[Duration (Min)]]&lt;=60,"Under 1h",Calls[[#This Row],[Duration (Min)]]&lt;=120,"Under 2",TRUE,"More than 2h")</f>
        <v>Under 2</v>
      </c>
      <c r="J351">
        <f>IF(MONTH(Calls[[#This Row],[Date of Call]])&lt;=3,YEAR(Calls[[#This Row],[Date of Call]]),YEAR(Calls[[#This Row],[Date of Call]])+1)</f>
        <v>2025</v>
      </c>
      <c r="K351" t="str">
        <f>TEXT(Calls[[#This Row],[Date of Call]],"dddd")</f>
        <v>Tuesday</v>
      </c>
      <c r="L351" t="str">
        <f>TEXT(Calls[[#This Row],[Date of Call]],"mmm")</f>
        <v>Mar</v>
      </c>
    </row>
    <row r="352" spans="1:12" x14ac:dyDescent="0.3">
      <c r="A352" t="s">
        <v>356</v>
      </c>
      <c r="B352" t="s">
        <v>1010</v>
      </c>
      <c r="C352">
        <v>48</v>
      </c>
      <c r="D352" t="s">
        <v>1026</v>
      </c>
      <c r="E352" t="s">
        <v>1103</v>
      </c>
      <c r="F352">
        <v>150</v>
      </c>
      <c r="G352">
        <v>4.0999999999999996</v>
      </c>
      <c r="H352">
        <f>ROUND(Calls[[#This Row],[Satisfactory Rating]],0)</f>
        <v>4</v>
      </c>
      <c r="I352" t="str" cm="1">
        <f t="array" ref="I352">_xlfn.IFS(Calls[[#This Row],[Duration (Min)]]&lt;=30,"Under 30 mins",Calls[[#This Row],[Duration (Min)]]&lt;=60,"Under 1h",Calls[[#This Row],[Duration (Min)]]&lt;=120,"Under 2",TRUE,"More than 2h")</f>
        <v>Under 1h</v>
      </c>
      <c r="J352">
        <f>IF(MONTH(Calls[[#This Row],[Date of Call]])&lt;=3,YEAR(Calls[[#This Row],[Date of Call]]),YEAR(Calls[[#This Row],[Date of Call]])+1)</f>
        <v>2025</v>
      </c>
      <c r="K352" t="str">
        <f>TEXT(Calls[[#This Row],[Date of Call]],"dddd")</f>
        <v>Wednesday</v>
      </c>
      <c r="L352" t="str">
        <f>TEXT(Calls[[#This Row],[Date of Call]],"mmm")</f>
        <v>Mar</v>
      </c>
    </row>
    <row r="353" spans="1:12" x14ac:dyDescent="0.3">
      <c r="A353" t="s">
        <v>357</v>
      </c>
      <c r="B353" t="s">
        <v>1024</v>
      </c>
      <c r="C353">
        <v>84</v>
      </c>
      <c r="D353" t="s">
        <v>1027</v>
      </c>
      <c r="E353" t="s">
        <v>1103</v>
      </c>
      <c r="F353">
        <v>22</v>
      </c>
      <c r="G353">
        <v>2.8</v>
      </c>
      <c r="H353">
        <f>ROUND(Calls[[#This Row],[Satisfactory Rating]],0)</f>
        <v>3</v>
      </c>
      <c r="I353" t="str" cm="1">
        <f t="array" ref="I353">_xlfn.IFS(Calls[[#This Row],[Duration (Min)]]&lt;=30,"Under 30 mins",Calls[[#This Row],[Duration (Min)]]&lt;=60,"Under 1h",Calls[[#This Row],[Duration (Min)]]&lt;=120,"Under 2",TRUE,"More than 2h")</f>
        <v>Under 2</v>
      </c>
      <c r="J353">
        <f>IF(MONTH(Calls[[#This Row],[Date of Call]])&lt;=3,YEAR(Calls[[#This Row],[Date of Call]]),YEAR(Calls[[#This Row],[Date of Call]])+1)</f>
        <v>2025</v>
      </c>
      <c r="K353" t="str">
        <f>TEXT(Calls[[#This Row],[Date of Call]],"dddd")</f>
        <v>Wednesday</v>
      </c>
      <c r="L353" t="str">
        <f>TEXT(Calls[[#This Row],[Date of Call]],"mmm")</f>
        <v>Mar</v>
      </c>
    </row>
    <row r="354" spans="1:12" x14ac:dyDescent="0.3">
      <c r="A354" t="s">
        <v>358</v>
      </c>
      <c r="B354" t="s">
        <v>1012</v>
      </c>
      <c r="C354">
        <v>69</v>
      </c>
      <c r="D354" t="s">
        <v>1030</v>
      </c>
      <c r="E354" t="s">
        <v>1103</v>
      </c>
      <c r="F354">
        <v>66</v>
      </c>
      <c r="G354">
        <v>4.0999999999999996</v>
      </c>
      <c r="H354">
        <f>ROUND(Calls[[#This Row],[Satisfactory Rating]],0)</f>
        <v>4</v>
      </c>
      <c r="I354" t="str" cm="1">
        <f t="array" ref="I354">_xlfn.IFS(Calls[[#This Row],[Duration (Min)]]&lt;=30,"Under 30 mins",Calls[[#This Row],[Duration (Min)]]&lt;=60,"Under 1h",Calls[[#This Row],[Duration (Min)]]&lt;=120,"Under 2",TRUE,"More than 2h")</f>
        <v>Under 2</v>
      </c>
      <c r="J354">
        <f>IF(MONTH(Calls[[#This Row],[Date of Call]])&lt;=3,YEAR(Calls[[#This Row],[Date of Call]]),YEAR(Calls[[#This Row],[Date of Call]])+1)</f>
        <v>2025</v>
      </c>
      <c r="K354" t="str">
        <f>TEXT(Calls[[#This Row],[Date of Call]],"dddd")</f>
        <v>Wednesday</v>
      </c>
      <c r="L354" t="str">
        <f>TEXT(Calls[[#This Row],[Date of Call]],"mmm")</f>
        <v>Mar</v>
      </c>
    </row>
    <row r="355" spans="1:12" x14ac:dyDescent="0.3">
      <c r="A355" t="s">
        <v>359</v>
      </c>
      <c r="B355" t="s">
        <v>1014</v>
      </c>
      <c r="C355">
        <v>13</v>
      </c>
      <c r="D355" t="s">
        <v>1026</v>
      </c>
      <c r="E355" t="s">
        <v>1103</v>
      </c>
      <c r="F355">
        <v>50</v>
      </c>
      <c r="G355">
        <v>1.6</v>
      </c>
      <c r="H355">
        <f>ROUND(Calls[[#This Row],[Satisfactory Rating]],0)</f>
        <v>2</v>
      </c>
      <c r="I355" t="str" cm="1">
        <f t="array" ref="I355">_xlfn.IFS(Calls[[#This Row],[Duration (Min)]]&lt;=30,"Under 30 mins",Calls[[#This Row],[Duration (Min)]]&lt;=60,"Under 1h",Calls[[#This Row],[Duration (Min)]]&lt;=120,"Under 2",TRUE,"More than 2h")</f>
        <v>Under 30 mins</v>
      </c>
      <c r="J355">
        <f>IF(MONTH(Calls[[#This Row],[Date of Call]])&lt;=3,YEAR(Calls[[#This Row],[Date of Call]]),YEAR(Calls[[#This Row],[Date of Call]])+1)</f>
        <v>2025</v>
      </c>
      <c r="K355" t="str">
        <f>TEXT(Calls[[#This Row],[Date of Call]],"dddd")</f>
        <v>Wednesday</v>
      </c>
      <c r="L355" t="str">
        <f>TEXT(Calls[[#This Row],[Date of Call]],"mmm")</f>
        <v>Mar</v>
      </c>
    </row>
    <row r="356" spans="1:12" x14ac:dyDescent="0.3">
      <c r="A356" t="s">
        <v>360</v>
      </c>
      <c r="B356" t="s">
        <v>1007</v>
      </c>
      <c r="C356">
        <v>55</v>
      </c>
      <c r="D356" t="s">
        <v>1026</v>
      </c>
      <c r="E356" t="s">
        <v>1103</v>
      </c>
      <c r="F356">
        <v>149</v>
      </c>
      <c r="G356">
        <v>1.7</v>
      </c>
      <c r="H356">
        <f>ROUND(Calls[[#This Row],[Satisfactory Rating]],0)</f>
        <v>2</v>
      </c>
      <c r="I356" t="str" cm="1">
        <f t="array" ref="I356">_xlfn.IFS(Calls[[#This Row],[Duration (Min)]]&lt;=30,"Under 30 mins",Calls[[#This Row],[Duration (Min)]]&lt;=60,"Under 1h",Calls[[#This Row],[Duration (Min)]]&lt;=120,"Under 2",TRUE,"More than 2h")</f>
        <v>Under 1h</v>
      </c>
      <c r="J356">
        <f>IF(MONTH(Calls[[#This Row],[Date of Call]])&lt;=3,YEAR(Calls[[#This Row],[Date of Call]]),YEAR(Calls[[#This Row],[Date of Call]])+1)</f>
        <v>2025</v>
      </c>
      <c r="K356" t="str">
        <f>TEXT(Calls[[#This Row],[Date of Call]],"dddd")</f>
        <v>Wednesday</v>
      </c>
      <c r="L356" t="str">
        <f>TEXT(Calls[[#This Row],[Date of Call]],"mmm")</f>
        <v>Mar</v>
      </c>
    </row>
    <row r="357" spans="1:12" x14ac:dyDescent="0.3">
      <c r="A357" t="s">
        <v>361</v>
      </c>
      <c r="B357" t="s">
        <v>1025</v>
      </c>
      <c r="C357">
        <v>17</v>
      </c>
      <c r="D357" t="s">
        <v>1029</v>
      </c>
      <c r="E357" t="s">
        <v>1104</v>
      </c>
      <c r="F357">
        <v>69</v>
      </c>
      <c r="G357">
        <v>2.9</v>
      </c>
      <c r="H357">
        <f>ROUND(Calls[[#This Row],[Satisfactory Rating]],0)</f>
        <v>3</v>
      </c>
      <c r="I357" t="str" cm="1">
        <f t="array" ref="I357">_xlfn.IFS(Calls[[#This Row],[Duration (Min)]]&lt;=30,"Under 30 mins",Calls[[#This Row],[Duration (Min)]]&lt;=60,"Under 1h",Calls[[#This Row],[Duration (Min)]]&lt;=120,"Under 2",TRUE,"More than 2h")</f>
        <v>Under 30 mins</v>
      </c>
      <c r="J357">
        <f>IF(MONTH(Calls[[#This Row],[Date of Call]])&lt;=3,YEAR(Calls[[#This Row],[Date of Call]]),YEAR(Calls[[#This Row],[Date of Call]])+1)</f>
        <v>2025</v>
      </c>
      <c r="K357" t="str">
        <f>TEXT(Calls[[#This Row],[Date of Call]],"dddd")</f>
        <v>Thursday</v>
      </c>
      <c r="L357" t="str">
        <f>TEXT(Calls[[#This Row],[Date of Call]],"mmm")</f>
        <v>Mar</v>
      </c>
    </row>
    <row r="358" spans="1:12" x14ac:dyDescent="0.3">
      <c r="A358" t="s">
        <v>362</v>
      </c>
      <c r="B358" t="s">
        <v>1006</v>
      </c>
      <c r="C358">
        <v>11</v>
      </c>
      <c r="D358" t="s">
        <v>1032</v>
      </c>
      <c r="E358" t="s">
        <v>1104</v>
      </c>
      <c r="F358">
        <v>26</v>
      </c>
      <c r="G358">
        <v>4.7</v>
      </c>
      <c r="H358">
        <f>ROUND(Calls[[#This Row],[Satisfactory Rating]],0)</f>
        <v>5</v>
      </c>
      <c r="I358" t="str" cm="1">
        <f t="array" ref="I358">_xlfn.IFS(Calls[[#This Row],[Duration (Min)]]&lt;=30,"Under 30 mins",Calls[[#This Row],[Duration (Min)]]&lt;=60,"Under 1h",Calls[[#This Row],[Duration (Min)]]&lt;=120,"Under 2",TRUE,"More than 2h")</f>
        <v>Under 30 mins</v>
      </c>
      <c r="J358">
        <f>IF(MONTH(Calls[[#This Row],[Date of Call]])&lt;=3,YEAR(Calls[[#This Row],[Date of Call]]),YEAR(Calls[[#This Row],[Date of Call]])+1)</f>
        <v>2025</v>
      </c>
      <c r="K358" t="str">
        <f>TEXT(Calls[[#This Row],[Date of Call]],"dddd")</f>
        <v>Thursday</v>
      </c>
      <c r="L358" t="str">
        <f>TEXT(Calls[[#This Row],[Date of Call]],"mmm")</f>
        <v>Mar</v>
      </c>
    </row>
    <row r="359" spans="1:12" x14ac:dyDescent="0.3">
      <c r="A359" t="s">
        <v>363</v>
      </c>
      <c r="B359" t="s">
        <v>1006</v>
      </c>
      <c r="C359">
        <v>86</v>
      </c>
      <c r="D359" t="s">
        <v>1030</v>
      </c>
      <c r="E359" t="s">
        <v>1104</v>
      </c>
      <c r="F359">
        <v>82</v>
      </c>
      <c r="G359">
        <v>1.8</v>
      </c>
      <c r="H359">
        <f>ROUND(Calls[[#This Row],[Satisfactory Rating]],0)</f>
        <v>2</v>
      </c>
      <c r="I359" t="str" cm="1">
        <f t="array" ref="I359">_xlfn.IFS(Calls[[#This Row],[Duration (Min)]]&lt;=30,"Under 30 mins",Calls[[#This Row],[Duration (Min)]]&lt;=60,"Under 1h",Calls[[#This Row],[Duration (Min)]]&lt;=120,"Under 2",TRUE,"More than 2h")</f>
        <v>Under 2</v>
      </c>
      <c r="J359">
        <f>IF(MONTH(Calls[[#This Row],[Date of Call]])&lt;=3,YEAR(Calls[[#This Row],[Date of Call]]),YEAR(Calls[[#This Row],[Date of Call]])+1)</f>
        <v>2025</v>
      </c>
      <c r="K359" t="str">
        <f>TEXT(Calls[[#This Row],[Date of Call]],"dddd")</f>
        <v>Thursday</v>
      </c>
      <c r="L359" t="str">
        <f>TEXT(Calls[[#This Row],[Date of Call]],"mmm")</f>
        <v>Mar</v>
      </c>
    </row>
    <row r="360" spans="1:12" x14ac:dyDescent="0.3">
      <c r="A360" t="s">
        <v>364</v>
      </c>
      <c r="B360" t="s">
        <v>1012</v>
      </c>
      <c r="C360">
        <v>153</v>
      </c>
      <c r="D360" t="s">
        <v>1029</v>
      </c>
      <c r="E360" t="s">
        <v>1104</v>
      </c>
      <c r="F360">
        <v>118</v>
      </c>
      <c r="G360">
        <v>4.3</v>
      </c>
      <c r="H360">
        <f>ROUND(Calls[[#This Row],[Satisfactory Rating]],0)</f>
        <v>4</v>
      </c>
      <c r="I360" t="str" cm="1">
        <f t="array" ref="I360">_xlfn.IFS(Calls[[#This Row],[Duration (Min)]]&lt;=30,"Under 30 mins",Calls[[#This Row],[Duration (Min)]]&lt;=60,"Under 1h",Calls[[#This Row],[Duration (Min)]]&lt;=120,"Under 2",TRUE,"More than 2h")</f>
        <v>More than 2h</v>
      </c>
      <c r="J360">
        <f>IF(MONTH(Calls[[#This Row],[Date of Call]])&lt;=3,YEAR(Calls[[#This Row],[Date of Call]]),YEAR(Calls[[#This Row],[Date of Call]])+1)</f>
        <v>2025</v>
      </c>
      <c r="K360" t="str">
        <f>TEXT(Calls[[#This Row],[Date of Call]],"dddd")</f>
        <v>Thursday</v>
      </c>
      <c r="L360" t="str">
        <f>TEXT(Calls[[#This Row],[Date of Call]],"mmm")</f>
        <v>Mar</v>
      </c>
    </row>
    <row r="361" spans="1:12" x14ac:dyDescent="0.3">
      <c r="A361" t="s">
        <v>365</v>
      </c>
      <c r="B361" t="s">
        <v>1019</v>
      </c>
      <c r="C361">
        <v>90</v>
      </c>
      <c r="D361" t="s">
        <v>1031</v>
      </c>
      <c r="E361" t="s">
        <v>1104</v>
      </c>
      <c r="F361">
        <v>144</v>
      </c>
      <c r="G361">
        <v>1.8</v>
      </c>
      <c r="H361">
        <f>ROUND(Calls[[#This Row],[Satisfactory Rating]],0)</f>
        <v>2</v>
      </c>
      <c r="I361" t="str" cm="1">
        <f t="array" ref="I361">_xlfn.IFS(Calls[[#This Row],[Duration (Min)]]&lt;=30,"Under 30 mins",Calls[[#This Row],[Duration (Min)]]&lt;=60,"Under 1h",Calls[[#This Row],[Duration (Min)]]&lt;=120,"Under 2",TRUE,"More than 2h")</f>
        <v>Under 2</v>
      </c>
      <c r="J361">
        <f>IF(MONTH(Calls[[#This Row],[Date of Call]])&lt;=3,YEAR(Calls[[#This Row],[Date of Call]]),YEAR(Calls[[#This Row],[Date of Call]])+1)</f>
        <v>2025</v>
      </c>
      <c r="K361" t="str">
        <f>TEXT(Calls[[#This Row],[Date of Call]],"dddd")</f>
        <v>Thursday</v>
      </c>
      <c r="L361" t="str">
        <f>TEXT(Calls[[#This Row],[Date of Call]],"mmm")</f>
        <v>Mar</v>
      </c>
    </row>
    <row r="362" spans="1:12" x14ac:dyDescent="0.3">
      <c r="A362" t="s">
        <v>366</v>
      </c>
      <c r="B362" t="s">
        <v>1008</v>
      </c>
      <c r="C362">
        <v>137</v>
      </c>
      <c r="D362" t="s">
        <v>1029</v>
      </c>
      <c r="E362" t="s">
        <v>1105</v>
      </c>
      <c r="F362">
        <v>87</v>
      </c>
      <c r="G362">
        <v>3.6</v>
      </c>
      <c r="H362">
        <f>ROUND(Calls[[#This Row],[Satisfactory Rating]],0)</f>
        <v>4</v>
      </c>
      <c r="I362" t="str" cm="1">
        <f t="array" ref="I362">_xlfn.IFS(Calls[[#This Row],[Duration (Min)]]&lt;=30,"Under 30 mins",Calls[[#This Row],[Duration (Min)]]&lt;=60,"Under 1h",Calls[[#This Row],[Duration (Min)]]&lt;=120,"Under 2",TRUE,"More than 2h")</f>
        <v>More than 2h</v>
      </c>
      <c r="J362">
        <f>IF(MONTH(Calls[[#This Row],[Date of Call]])&lt;=3,YEAR(Calls[[#This Row],[Date of Call]]),YEAR(Calls[[#This Row],[Date of Call]])+1)</f>
        <v>2025</v>
      </c>
      <c r="K362" t="str">
        <f>TEXT(Calls[[#This Row],[Date of Call]],"dddd")</f>
        <v>Friday</v>
      </c>
      <c r="L362" t="str">
        <f>TEXT(Calls[[#This Row],[Date of Call]],"mmm")</f>
        <v>Mar</v>
      </c>
    </row>
    <row r="363" spans="1:12" x14ac:dyDescent="0.3">
      <c r="A363" t="s">
        <v>367</v>
      </c>
      <c r="B363" t="s">
        <v>1016</v>
      </c>
      <c r="C363">
        <v>54</v>
      </c>
      <c r="D363" t="s">
        <v>1031</v>
      </c>
      <c r="E363" t="s">
        <v>1105</v>
      </c>
      <c r="F363">
        <v>100</v>
      </c>
      <c r="G363">
        <v>1.8</v>
      </c>
      <c r="H363">
        <f>ROUND(Calls[[#This Row],[Satisfactory Rating]],0)</f>
        <v>2</v>
      </c>
      <c r="I363" t="str" cm="1">
        <f t="array" ref="I363">_xlfn.IFS(Calls[[#This Row],[Duration (Min)]]&lt;=30,"Under 30 mins",Calls[[#This Row],[Duration (Min)]]&lt;=60,"Under 1h",Calls[[#This Row],[Duration (Min)]]&lt;=120,"Under 2",TRUE,"More than 2h")</f>
        <v>Under 1h</v>
      </c>
      <c r="J363">
        <f>IF(MONTH(Calls[[#This Row],[Date of Call]])&lt;=3,YEAR(Calls[[#This Row],[Date of Call]]),YEAR(Calls[[#This Row],[Date of Call]])+1)</f>
        <v>2025</v>
      </c>
      <c r="K363" t="str">
        <f>TEXT(Calls[[#This Row],[Date of Call]],"dddd")</f>
        <v>Friday</v>
      </c>
      <c r="L363" t="str">
        <f>TEXT(Calls[[#This Row],[Date of Call]],"mmm")</f>
        <v>Mar</v>
      </c>
    </row>
    <row r="364" spans="1:12" x14ac:dyDescent="0.3">
      <c r="A364" t="s">
        <v>368</v>
      </c>
      <c r="B364" t="s">
        <v>1009</v>
      </c>
      <c r="C364">
        <v>137</v>
      </c>
      <c r="D364" t="s">
        <v>1030</v>
      </c>
      <c r="E364" t="s">
        <v>1105</v>
      </c>
      <c r="F364">
        <v>149</v>
      </c>
      <c r="G364">
        <v>4.4000000000000004</v>
      </c>
      <c r="H364">
        <f>ROUND(Calls[[#This Row],[Satisfactory Rating]],0)</f>
        <v>4</v>
      </c>
      <c r="I364" t="str" cm="1">
        <f t="array" ref="I364">_xlfn.IFS(Calls[[#This Row],[Duration (Min)]]&lt;=30,"Under 30 mins",Calls[[#This Row],[Duration (Min)]]&lt;=60,"Under 1h",Calls[[#This Row],[Duration (Min)]]&lt;=120,"Under 2",TRUE,"More than 2h")</f>
        <v>More than 2h</v>
      </c>
      <c r="J364">
        <f>IF(MONTH(Calls[[#This Row],[Date of Call]])&lt;=3,YEAR(Calls[[#This Row],[Date of Call]]),YEAR(Calls[[#This Row],[Date of Call]])+1)</f>
        <v>2025</v>
      </c>
      <c r="K364" t="str">
        <f>TEXT(Calls[[#This Row],[Date of Call]],"dddd")</f>
        <v>Friday</v>
      </c>
      <c r="L364" t="str">
        <f>TEXT(Calls[[#This Row],[Date of Call]],"mmm")</f>
        <v>Mar</v>
      </c>
    </row>
    <row r="365" spans="1:12" x14ac:dyDescent="0.3">
      <c r="A365" t="s">
        <v>369</v>
      </c>
      <c r="B365" t="s">
        <v>1011</v>
      </c>
      <c r="C365">
        <v>12</v>
      </c>
      <c r="D365" t="s">
        <v>1026</v>
      </c>
      <c r="E365" t="s">
        <v>1105</v>
      </c>
      <c r="F365">
        <v>138</v>
      </c>
      <c r="G365">
        <v>2.5</v>
      </c>
      <c r="H365">
        <f>ROUND(Calls[[#This Row],[Satisfactory Rating]],0)</f>
        <v>3</v>
      </c>
      <c r="I365" t="str" cm="1">
        <f t="array" ref="I365">_xlfn.IFS(Calls[[#This Row],[Duration (Min)]]&lt;=30,"Under 30 mins",Calls[[#This Row],[Duration (Min)]]&lt;=60,"Under 1h",Calls[[#This Row],[Duration (Min)]]&lt;=120,"Under 2",TRUE,"More than 2h")</f>
        <v>Under 30 mins</v>
      </c>
      <c r="J365">
        <f>IF(MONTH(Calls[[#This Row],[Date of Call]])&lt;=3,YEAR(Calls[[#This Row],[Date of Call]]),YEAR(Calls[[#This Row],[Date of Call]])+1)</f>
        <v>2025</v>
      </c>
      <c r="K365" t="str">
        <f>TEXT(Calls[[#This Row],[Date of Call]],"dddd")</f>
        <v>Friday</v>
      </c>
      <c r="L365" t="str">
        <f>TEXT(Calls[[#This Row],[Date of Call]],"mmm")</f>
        <v>Mar</v>
      </c>
    </row>
    <row r="366" spans="1:12" x14ac:dyDescent="0.3">
      <c r="A366" t="s">
        <v>370</v>
      </c>
      <c r="B366" t="s">
        <v>1013</v>
      </c>
      <c r="C366">
        <v>157</v>
      </c>
      <c r="D366" t="s">
        <v>1027</v>
      </c>
      <c r="E366" t="s">
        <v>1105</v>
      </c>
      <c r="F366">
        <v>101</v>
      </c>
      <c r="G366">
        <v>1.9</v>
      </c>
      <c r="H366">
        <f>ROUND(Calls[[#This Row],[Satisfactory Rating]],0)</f>
        <v>2</v>
      </c>
      <c r="I366" t="str" cm="1">
        <f t="array" ref="I366">_xlfn.IFS(Calls[[#This Row],[Duration (Min)]]&lt;=30,"Under 30 mins",Calls[[#This Row],[Duration (Min)]]&lt;=60,"Under 1h",Calls[[#This Row],[Duration (Min)]]&lt;=120,"Under 2",TRUE,"More than 2h")</f>
        <v>More than 2h</v>
      </c>
      <c r="J366">
        <f>IF(MONTH(Calls[[#This Row],[Date of Call]])&lt;=3,YEAR(Calls[[#This Row],[Date of Call]]),YEAR(Calls[[#This Row],[Date of Call]])+1)</f>
        <v>2025</v>
      </c>
      <c r="K366" t="str">
        <f>TEXT(Calls[[#This Row],[Date of Call]],"dddd")</f>
        <v>Friday</v>
      </c>
      <c r="L366" t="str">
        <f>TEXT(Calls[[#This Row],[Date of Call]],"mmm")</f>
        <v>Mar</v>
      </c>
    </row>
    <row r="367" spans="1:12" x14ac:dyDescent="0.3">
      <c r="A367" t="s">
        <v>371</v>
      </c>
      <c r="B367" t="s">
        <v>1021</v>
      </c>
      <c r="C367">
        <v>120</v>
      </c>
      <c r="D367" t="s">
        <v>1026</v>
      </c>
      <c r="E367" t="s">
        <v>1106</v>
      </c>
      <c r="F367">
        <v>115</v>
      </c>
      <c r="G367">
        <v>2</v>
      </c>
      <c r="H367">
        <f>ROUND(Calls[[#This Row],[Satisfactory Rating]],0)</f>
        <v>2</v>
      </c>
      <c r="I367" t="str" cm="1">
        <f t="array" ref="I367">_xlfn.IFS(Calls[[#This Row],[Duration (Min)]]&lt;=30,"Under 30 mins",Calls[[#This Row],[Duration (Min)]]&lt;=60,"Under 1h",Calls[[#This Row],[Duration (Min)]]&lt;=120,"Under 2",TRUE,"More than 2h")</f>
        <v>Under 2</v>
      </c>
      <c r="J367">
        <f>IF(MONTH(Calls[[#This Row],[Date of Call]])&lt;=3,YEAR(Calls[[#This Row],[Date of Call]]),YEAR(Calls[[#This Row],[Date of Call]])+1)</f>
        <v>2025</v>
      </c>
      <c r="K367" t="str">
        <f>TEXT(Calls[[#This Row],[Date of Call]],"dddd")</f>
        <v>Saturday</v>
      </c>
      <c r="L367" t="str">
        <f>TEXT(Calls[[#This Row],[Date of Call]],"mmm")</f>
        <v>Mar</v>
      </c>
    </row>
    <row r="368" spans="1:12" x14ac:dyDescent="0.3">
      <c r="A368" t="s">
        <v>372</v>
      </c>
      <c r="B368" t="s">
        <v>1007</v>
      </c>
      <c r="C368">
        <v>36</v>
      </c>
      <c r="D368" t="s">
        <v>1031</v>
      </c>
      <c r="E368" t="s">
        <v>1106</v>
      </c>
      <c r="F368">
        <v>128</v>
      </c>
      <c r="G368">
        <v>4.5999999999999996</v>
      </c>
      <c r="H368">
        <f>ROUND(Calls[[#This Row],[Satisfactory Rating]],0)</f>
        <v>5</v>
      </c>
      <c r="I368" t="str" cm="1">
        <f t="array" ref="I368">_xlfn.IFS(Calls[[#This Row],[Duration (Min)]]&lt;=30,"Under 30 mins",Calls[[#This Row],[Duration (Min)]]&lt;=60,"Under 1h",Calls[[#This Row],[Duration (Min)]]&lt;=120,"Under 2",TRUE,"More than 2h")</f>
        <v>Under 1h</v>
      </c>
      <c r="J368">
        <f>IF(MONTH(Calls[[#This Row],[Date of Call]])&lt;=3,YEAR(Calls[[#This Row],[Date of Call]]),YEAR(Calls[[#This Row],[Date of Call]])+1)</f>
        <v>2025</v>
      </c>
      <c r="K368" t="str">
        <f>TEXT(Calls[[#This Row],[Date of Call]],"dddd")</f>
        <v>Saturday</v>
      </c>
      <c r="L368" t="str">
        <f>TEXT(Calls[[#This Row],[Date of Call]],"mmm")</f>
        <v>Mar</v>
      </c>
    </row>
    <row r="369" spans="1:12" x14ac:dyDescent="0.3">
      <c r="A369" t="s">
        <v>373</v>
      </c>
      <c r="B369" t="s">
        <v>1019</v>
      </c>
      <c r="C369">
        <v>141</v>
      </c>
      <c r="D369" t="s">
        <v>1031</v>
      </c>
      <c r="E369" t="s">
        <v>1106</v>
      </c>
      <c r="F369">
        <v>33</v>
      </c>
      <c r="G369">
        <v>2.1</v>
      </c>
      <c r="H369">
        <f>ROUND(Calls[[#This Row],[Satisfactory Rating]],0)</f>
        <v>2</v>
      </c>
      <c r="I369" t="str" cm="1">
        <f t="array" ref="I369">_xlfn.IFS(Calls[[#This Row],[Duration (Min)]]&lt;=30,"Under 30 mins",Calls[[#This Row],[Duration (Min)]]&lt;=60,"Under 1h",Calls[[#This Row],[Duration (Min)]]&lt;=120,"Under 2",TRUE,"More than 2h")</f>
        <v>More than 2h</v>
      </c>
      <c r="J369">
        <f>IF(MONTH(Calls[[#This Row],[Date of Call]])&lt;=3,YEAR(Calls[[#This Row],[Date of Call]]),YEAR(Calls[[#This Row],[Date of Call]])+1)</f>
        <v>2025</v>
      </c>
      <c r="K369" t="str">
        <f>TEXT(Calls[[#This Row],[Date of Call]],"dddd")</f>
        <v>Saturday</v>
      </c>
      <c r="L369" t="str">
        <f>TEXT(Calls[[#This Row],[Date of Call]],"mmm")</f>
        <v>Mar</v>
      </c>
    </row>
    <row r="370" spans="1:12" x14ac:dyDescent="0.3">
      <c r="A370" t="s">
        <v>374</v>
      </c>
      <c r="B370" t="s">
        <v>1014</v>
      </c>
      <c r="C370">
        <v>123</v>
      </c>
      <c r="D370" t="s">
        <v>1026</v>
      </c>
      <c r="E370" t="s">
        <v>1106</v>
      </c>
      <c r="F370">
        <v>61</v>
      </c>
      <c r="G370">
        <v>4.5999999999999996</v>
      </c>
      <c r="H370">
        <f>ROUND(Calls[[#This Row],[Satisfactory Rating]],0)</f>
        <v>5</v>
      </c>
      <c r="I370" t="str" cm="1">
        <f t="array" ref="I370">_xlfn.IFS(Calls[[#This Row],[Duration (Min)]]&lt;=30,"Under 30 mins",Calls[[#This Row],[Duration (Min)]]&lt;=60,"Under 1h",Calls[[#This Row],[Duration (Min)]]&lt;=120,"Under 2",TRUE,"More than 2h")</f>
        <v>More than 2h</v>
      </c>
      <c r="J370">
        <f>IF(MONTH(Calls[[#This Row],[Date of Call]])&lt;=3,YEAR(Calls[[#This Row],[Date of Call]]),YEAR(Calls[[#This Row],[Date of Call]])+1)</f>
        <v>2025</v>
      </c>
      <c r="K370" t="str">
        <f>TEXT(Calls[[#This Row],[Date of Call]],"dddd")</f>
        <v>Saturday</v>
      </c>
      <c r="L370" t="str">
        <f>TEXT(Calls[[#This Row],[Date of Call]],"mmm")</f>
        <v>Mar</v>
      </c>
    </row>
    <row r="371" spans="1:12" x14ac:dyDescent="0.3">
      <c r="A371" t="s">
        <v>375</v>
      </c>
      <c r="B371" t="s">
        <v>1020</v>
      </c>
      <c r="C371">
        <v>130</v>
      </c>
      <c r="D371" t="s">
        <v>1031</v>
      </c>
      <c r="E371" t="s">
        <v>1106</v>
      </c>
      <c r="F371">
        <v>51</v>
      </c>
      <c r="G371">
        <v>4.4000000000000004</v>
      </c>
      <c r="H371">
        <f>ROUND(Calls[[#This Row],[Satisfactory Rating]],0)</f>
        <v>4</v>
      </c>
      <c r="I371" t="str" cm="1">
        <f t="array" ref="I371">_xlfn.IFS(Calls[[#This Row],[Duration (Min)]]&lt;=30,"Under 30 mins",Calls[[#This Row],[Duration (Min)]]&lt;=60,"Under 1h",Calls[[#This Row],[Duration (Min)]]&lt;=120,"Under 2",TRUE,"More than 2h")</f>
        <v>More than 2h</v>
      </c>
      <c r="J371">
        <f>IF(MONTH(Calls[[#This Row],[Date of Call]])&lt;=3,YEAR(Calls[[#This Row],[Date of Call]]),YEAR(Calls[[#This Row],[Date of Call]])+1)</f>
        <v>2025</v>
      </c>
      <c r="K371" t="str">
        <f>TEXT(Calls[[#This Row],[Date of Call]],"dddd")</f>
        <v>Saturday</v>
      </c>
      <c r="L371" t="str">
        <f>TEXT(Calls[[#This Row],[Date of Call]],"mmm")</f>
        <v>Mar</v>
      </c>
    </row>
    <row r="372" spans="1:12" x14ac:dyDescent="0.3">
      <c r="A372" t="s">
        <v>376</v>
      </c>
      <c r="B372" t="s">
        <v>1016</v>
      </c>
      <c r="C372">
        <v>88</v>
      </c>
      <c r="D372" t="s">
        <v>1027</v>
      </c>
      <c r="E372" t="s">
        <v>1107</v>
      </c>
      <c r="F372">
        <v>40</v>
      </c>
      <c r="G372">
        <v>1.5</v>
      </c>
      <c r="H372">
        <f>ROUND(Calls[[#This Row],[Satisfactory Rating]],0)</f>
        <v>2</v>
      </c>
      <c r="I372" t="str" cm="1">
        <f t="array" ref="I372">_xlfn.IFS(Calls[[#This Row],[Duration (Min)]]&lt;=30,"Under 30 mins",Calls[[#This Row],[Duration (Min)]]&lt;=60,"Under 1h",Calls[[#This Row],[Duration (Min)]]&lt;=120,"Under 2",TRUE,"More than 2h")</f>
        <v>Under 2</v>
      </c>
      <c r="J372">
        <f>IF(MONTH(Calls[[#This Row],[Date of Call]])&lt;=3,YEAR(Calls[[#This Row],[Date of Call]]),YEAR(Calls[[#This Row],[Date of Call]])+1)</f>
        <v>2025</v>
      </c>
      <c r="K372" t="str">
        <f>TEXT(Calls[[#This Row],[Date of Call]],"dddd")</f>
        <v>Sunday</v>
      </c>
      <c r="L372" t="str">
        <f>TEXT(Calls[[#This Row],[Date of Call]],"mmm")</f>
        <v>Mar</v>
      </c>
    </row>
    <row r="373" spans="1:12" x14ac:dyDescent="0.3">
      <c r="A373" t="s">
        <v>377</v>
      </c>
      <c r="B373" t="s">
        <v>1012</v>
      </c>
      <c r="C373">
        <v>93</v>
      </c>
      <c r="D373" t="s">
        <v>1028</v>
      </c>
      <c r="E373" t="s">
        <v>1107</v>
      </c>
      <c r="F373">
        <v>74</v>
      </c>
      <c r="G373">
        <v>2</v>
      </c>
      <c r="H373">
        <f>ROUND(Calls[[#This Row],[Satisfactory Rating]],0)</f>
        <v>2</v>
      </c>
      <c r="I373" t="str" cm="1">
        <f t="array" ref="I373">_xlfn.IFS(Calls[[#This Row],[Duration (Min)]]&lt;=30,"Under 30 mins",Calls[[#This Row],[Duration (Min)]]&lt;=60,"Under 1h",Calls[[#This Row],[Duration (Min)]]&lt;=120,"Under 2",TRUE,"More than 2h")</f>
        <v>Under 2</v>
      </c>
      <c r="J373">
        <f>IF(MONTH(Calls[[#This Row],[Date of Call]])&lt;=3,YEAR(Calls[[#This Row],[Date of Call]]),YEAR(Calls[[#This Row],[Date of Call]])+1)</f>
        <v>2025</v>
      </c>
      <c r="K373" t="str">
        <f>TEXT(Calls[[#This Row],[Date of Call]],"dddd")</f>
        <v>Sunday</v>
      </c>
      <c r="L373" t="str">
        <f>TEXT(Calls[[#This Row],[Date of Call]],"mmm")</f>
        <v>Mar</v>
      </c>
    </row>
    <row r="374" spans="1:12" x14ac:dyDescent="0.3">
      <c r="A374" t="s">
        <v>378</v>
      </c>
      <c r="B374" t="s">
        <v>1022</v>
      </c>
      <c r="C374">
        <v>111</v>
      </c>
      <c r="D374" t="s">
        <v>1032</v>
      </c>
      <c r="E374" t="s">
        <v>1107</v>
      </c>
      <c r="F374">
        <v>24</v>
      </c>
      <c r="G374">
        <v>3.3</v>
      </c>
      <c r="H374">
        <f>ROUND(Calls[[#This Row],[Satisfactory Rating]],0)</f>
        <v>3</v>
      </c>
      <c r="I374" t="str" cm="1">
        <f t="array" ref="I374">_xlfn.IFS(Calls[[#This Row],[Duration (Min)]]&lt;=30,"Under 30 mins",Calls[[#This Row],[Duration (Min)]]&lt;=60,"Under 1h",Calls[[#This Row],[Duration (Min)]]&lt;=120,"Under 2",TRUE,"More than 2h")</f>
        <v>Under 2</v>
      </c>
      <c r="J374">
        <f>IF(MONTH(Calls[[#This Row],[Date of Call]])&lt;=3,YEAR(Calls[[#This Row],[Date of Call]]),YEAR(Calls[[#This Row],[Date of Call]])+1)</f>
        <v>2025</v>
      </c>
      <c r="K374" t="str">
        <f>TEXT(Calls[[#This Row],[Date of Call]],"dddd")</f>
        <v>Sunday</v>
      </c>
      <c r="L374" t="str">
        <f>TEXT(Calls[[#This Row],[Date of Call]],"mmm")</f>
        <v>Mar</v>
      </c>
    </row>
    <row r="375" spans="1:12" x14ac:dyDescent="0.3">
      <c r="A375" t="s">
        <v>379</v>
      </c>
      <c r="B375" t="s">
        <v>1022</v>
      </c>
      <c r="C375">
        <v>105</v>
      </c>
      <c r="D375" t="s">
        <v>1026</v>
      </c>
      <c r="E375" t="s">
        <v>1107</v>
      </c>
      <c r="F375">
        <v>32</v>
      </c>
      <c r="G375">
        <v>1.6</v>
      </c>
      <c r="H375">
        <f>ROUND(Calls[[#This Row],[Satisfactory Rating]],0)</f>
        <v>2</v>
      </c>
      <c r="I375" t="str" cm="1">
        <f t="array" ref="I375">_xlfn.IFS(Calls[[#This Row],[Duration (Min)]]&lt;=30,"Under 30 mins",Calls[[#This Row],[Duration (Min)]]&lt;=60,"Under 1h",Calls[[#This Row],[Duration (Min)]]&lt;=120,"Under 2",TRUE,"More than 2h")</f>
        <v>Under 2</v>
      </c>
      <c r="J375">
        <f>IF(MONTH(Calls[[#This Row],[Date of Call]])&lt;=3,YEAR(Calls[[#This Row],[Date of Call]]),YEAR(Calls[[#This Row],[Date of Call]])+1)</f>
        <v>2025</v>
      </c>
      <c r="K375" t="str">
        <f>TEXT(Calls[[#This Row],[Date of Call]],"dddd")</f>
        <v>Sunday</v>
      </c>
      <c r="L375" t="str">
        <f>TEXT(Calls[[#This Row],[Date of Call]],"mmm")</f>
        <v>Mar</v>
      </c>
    </row>
    <row r="376" spans="1:12" x14ac:dyDescent="0.3">
      <c r="A376" t="s">
        <v>380</v>
      </c>
      <c r="B376" t="s">
        <v>1006</v>
      </c>
      <c r="C376">
        <v>57</v>
      </c>
      <c r="D376" t="s">
        <v>1029</v>
      </c>
      <c r="E376" t="s">
        <v>1107</v>
      </c>
      <c r="F376">
        <v>80</v>
      </c>
      <c r="G376">
        <v>1.2</v>
      </c>
      <c r="H376">
        <f>ROUND(Calls[[#This Row],[Satisfactory Rating]],0)</f>
        <v>1</v>
      </c>
      <c r="I376" t="str" cm="1">
        <f t="array" ref="I376">_xlfn.IFS(Calls[[#This Row],[Duration (Min)]]&lt;=30,"Under 30 mins",Calls[[#This Row],[Duration (Min)]]&lt;=60,"Under 1h",Calls[[#This Row],[Duration (Min)]]&lt;=120,"Under 2",TRUE,"More than 2h")</f>
        <v>Under 1h</v>
      </c>
      <c r="J376">
        <f>IF(MONTH(Calls[[#This Row],[Date of Call]])&lt;=3,YEAR(Calls[[#This Row],[Date of Call]]),YEAR(Calls[[#This Row],[Date of Call]])+1)</f>
        <v>2025</v>
      </c>
      <c r="K376" t="str">
        <f>TEXT(Calls[[#This Row],[Date of Call]],"dddd")</f>
        <v>Sunday</v>
      </c>
      <c r="L376" t="str">
        <f>TEXT(Calls[[#This Row],[Date of Call]],"mmm")</f>
        <v>Mar</v>
      </c>
    </row>
    <row r="377" spans="1:12" x14ac:dyDescent="0.3">
      <c r="A377" t="s">
        <v>381</v>
      </c>
      <c r="B377" t="s">
        <v>1011</v>
      </c>
      <c r="C377">
        <v>16</v>
      </c>
      <c r="D377" t="s">
        <v>1030</v>
      </c>
      <c r="E377" t="s">
        <v>1108</v>
      </c>
      <c r="F377">
        <v>49</v>
      </c>
      <c r="G377">
        <v>4</v>
      </c>
      <c r="H377">
        <f>ROUND(Calls[[#This Row],[Satisfactory Rating]],0)</f>
        <v>4</v>
      </c>
      <c r="I377" t="str" cm="1">
        <f t="array" ref="I377">_xlfn.IFS(Calls[[#This Row],[Duration (Min)]]&lt;=30,"Under 30 mins",Calls[[#This Row],[Duration (Min)]]&lt;=60,"Under 1h",Calls[[#This Row],[Duration (Min)]]&lt;=120,"Under 2",TRUE,"More than 2h")</f>
        <v>Under 30 mins</v>
      </c>
      <c r="J377">
        <f>IF(MONTH(Calls[[#This Row],[Date of Call]])&lt;=3,YEAR(Calls[[#This Row],[Date of Call]]),YEAR(Calls[[#This Row],[Date of Call]])+1)</f>
        <v>2025</v>
      </c>
      <c r="K377" t="str">
        <f>TEXT(Calls[[#This Row],[Date of Call]],"dddd")</f>
        <v>Monday</v>
      </c>
      <c r="L377" t="str">
        <f>TEXT(Calls[[#This Row],[Date of Call]],"mmm")</f>
        <v>Mar</v>
      </c>
    </row>
    <row r="378" spans="1:12" x14ac:dyDescent="0.3">
      <c r="A378" t="s">
        <v>382</v>
      </c>
      <c r="B378" t="s">
        <v>1022</v>
      </c>
      <c r="C378">
        <v>148</v>
      </c>
      <c r="D378" t="s">
        <v>1032</v>
      </c>
      <c r="E378" t="s">
        <v>1108</v>
      </c>
      <c r="F378">
        <v>112</v>
      </c>
      <c r="G378">
        <v>4.5</v>
      </c>
      <c r="H378">
        <f>ROUND(Calls[[#This Row],[Satisfactory Rating]],0)</f>
        <v>5</v>
      </c>
      <c r="I378" t="str" cm="1">
        <f t="array" ref="I378">_xlfn.IFS(Calls[[#This Row],[Duration (Min)]]&lt;=30,"Under 30 mins",Calls[[#This Row],[Duration (Min)]]&lt;=60,"Under 1h",Calls[[#This Row],[Duration (Min)]]&lt;=120,"Under 2",TRUE,"More than 2h")</f>
        <v>More than 2h</v>
      </c>
      <c r="J378">
        <f>IF(MONTH(Calls[[#This Row],[Date of Call]])&lt;=3,YEAR(Calls[[#This Row],[Date of Call]]),YEAR(Calls[[#This Row],[Date of Call]])+1)</f>
        <v>2025</v>
      </c>
      <c r="K378" t="str">
        <f>TEXT(Calls[[#This Row],[Date of Call]],"dddd")</f>
        <v>Monday</v>
      </c>
      <c r="L378" t="str">
        <f>TEXT(Calls[[#This Row],[Date of Call]],"mmm")</f>
        <v>Mar</v>
      </c>
    </row>
    <row r="379" spans="1:12" x14ac:dyDescent="0.3">
      <c r="A379" t="s">
        <v>383</v>
      </c>
      <c r="B379" t="s">
        <v>1013</v>
      </c>
      <c r="C379">
        <v>77</v>
      </c>
      <c r="D379" t="s">
        <v>1026</v>
      </c>
      <c r="E379" t="s">
        <v>1108</v>
      </c>
      <c r="F379">
        <v>51</v>
      </c>
      <c r="G379">
        <v>3.8</v>
      </c>
      <c r="H379">
        <f>ROUND(Calls[[#This Row],[Satisfactory Rating]],0)</f>
        <v>4</v>
      </c>
      <c r="I379" t="str" cm="1">
        <f t="array" ref="I379">_xlfn.IFS(Calls[[#This Row],[Duration (Min)]]&lt;=30,"Under 30 mins",Calls[[#This Row],[Duration (Min)]]&lt;=60,"Under 1h",Calls[[#This Row],[Duration (Min)]]&lt;=120,"Under 2",TRUE,"More than 2h")</f>
        <v>Under 2</v>
      </c>
      <c r="J379">
        <f>IF(MONTH(Calls[[#This Row],[Date of Call]])&lt;=3,YEAR(Calls[[#This Row],[Date of Call]]),YEAR(Calls[[#This Row],[Date of Call]])+1)</f>
        <v>2025</v>
      </c>
      <c r="K379" t="str">
        <f>TEXT(Calls[[#This Row],[Date of Call]],"dddd")</f>
        <v>Monday</v>
      </c>
      <c r="L379" t="str">
        <f>TEXT(Calls[[#This Row],[Date of Call]],"mmm")</f>
        <v>Mar</v>
      </c>
    </row>
    <row r="380" spans="1:12" x14ac:dyDescent="0.3">
      <c r="A380" t="s">
        <v>384</v>
      </c>
      <c r="B380" t="s">
        <v>1010</v>
      </c>
      <c r="C380">
        <v>122</v>
      </c>
      <c r="D380" t="s">
        <v>1031</v>
      </c>
      <c r="E380" t="s">
        <v>1108</v>
      </c>
      <c r="F380">
        <v>122</v>
      </c>
      <c r="G380">
        <v>4.9000000000000004</v>
      </c>
      <c r="H380">
        <f>ROUND(Calls[[#This Row],[Satisfactory Rating]],0)</f>
        <v>5</v>
      </c>
      <c r="I380" t="str" cm="1">
        <f t="array" ref="I380">_xlfn.IFS(Calls[[#This Row],[Duration (Min)]]&lt;=30,"Under 30 mins",Calls[[#This Row],[Duration (Min)]]&lt;=60,"Under 1h",Calls[[#This Row],[Duration (Min)]]&lt;=120,"Under 2",TRUE,"More than 2h")</f>
        <v>More than 2h</v>
      </c>
      <c r="J380">
        <f>IF(MONTH(Calls[[#This Row],[Date of Call]])&lt;=3,YEAR(Calls[[#This Row],[Date of Call]]),YEAR(Calls[[#This Row],[Date of Call]])+1)</f>
        <v>2025</v>
      </c>
      <c r="K380" t="str">
        <f>TEXT(Calls[[#This Row],[Date of Call]],"dddd")</f>
        <v>Monday</v>
      </c>
      <c r="L380" t="str">
        <f>TEXT(Calls[[#This Row],[Date of Call]],"mmm")</f>
        <v>Mar</v>
      </c>
    </row>
    <row r="381" spans="1:12" x14ac:dyDescent="0.3">
      <c r="A381" t="s">
        <v>385</v>
      </c>
      <c r="B381" t="s">
        <v>1006</v>
      </c>
      <c r="C381">
        <v>64</v>
      </c>
      <c r="D381" t="s">
        <v>1027</v>
      </c>
      <c r="E381" t="s">
        <v>1108</v>
      </c>
      <c r="F381">
        <v>55</v>
      </c>
      <c r="G381">
        <v>4.0999999999999996</v>
      </c>
      <c r="H381">
        <f>ROUND(Calls[[#This Row],[Satisfactory Rating]],0)</f>
        <v>4</v>
      </c>
      <c r="I381" t="str" cm="1">
        <f t="array" ref="I381">_xlfn.IFS(Calls[[#This Row],[Duration (Min)]]&lt;=30,"Under 30 mins",Calls[[#This Row],[Duration (Min)]]&lt;=60,"Under 1h",Calls[[#This Row],[Duration (Min)]]&lt;=120,"Under 2",TRUE,"More than 2h")</f>
        <v>Under 2</v>
      </c>
      <c r="J381">
        <f>IF(MONTH(Calls[[#This Row],[Date of Call]])&lt;=3,YEAR(Calls[[#This Row],[Date of Call]]),YEAR(Calls[[#This Row],[Date of Call]])+1)</f>
        <v>2025</v>
      </c>
      <c r="K381" t="str">
        <f>TEXT(Calls[[#This Row],[Date of Call]],"dddd")</f>
        <v>Monday</v>
      </c>
      <c r="L381" t="str">
        <f>TEXT(Calls[[#This Row],[Date of Call]],"mmm")</f>
        <v>Mar</v>
      </c>
    </row>
    <row r="382" spans="1:12" x14ac:dyDescent="0.3">
      <c r="A382" t="s">
        <v>386</v>
      </c>
      <c r="B382" t="s">
        <v>1016</v>
      </c>
      <c r="C382">
        <v>158</v>
      </c>
      <c r="D382" t="s">
        <v>1027</v>
      </c>
      <c r="E382" t="s">
        <v>1109</v>
      </c>
      <c r="F382">
        <v>135</v>
      </c>
      <c r="G382">
        <v>3.7</v>
      </c>
      <c r="H382">
        <f>ROUND(Calls[[#This Row],[Satisfactory Rating]],0)</f>
        <v>4</v>
      </c>
      <c r="I382" t="str" cm="1">
        <f t="array" ref="I382">_xlfn.IFS(Calls[[#This Row],[Duration (Min)]]&lt;=30,"Under 30 mins",Calls[[#This Row],[Duration (Min)]]&lt;=60,"Under 1h",Calls[[#This Row],[Duration (Min)]]&lt;=120,"Under 2",TRUE,"More than 2h")</f>
        <v>More than 2h</v>
      </c>
      <c r="J382">
        <f>IF(MONTH(Calls[[#This Row],[Date of Call]])&lt;=3,YEAR(Calls[[#This Row],[Date of Call]]),YEAR(Calls[[#This Row],[Date of Call]])+1)</f>
        <v>2025</v>
      </c>
      <c r="K382" t="str">
        <f>TEXT(Calls[[#This Row],[Date of Call]],"dddd")</f>
        <v>Tuesday</v>
      </c>
      <c r="L382" t="str">
        <f>TEXT(Calls[[#This Row],[Date of Call]],"mmm")</f>
        <v>Mar</v>
      </c>
    </row>
    <row r="383" spans="1:12" x14ac:dyDescent="0.3">
      <c r="A383" t="s">
        <v>387</v>
      </c>
      <c r="B383" t="s">
        <v>1009</v>
      </c>
      <c r="C383">
        <v>147</v>
      </c>
      <c r="D383" t="s">
        <v>1028</v>
      </c>
      <c r="E383" t="s">
        <v>1109</v>
      </c>
      <c r="F383">
        <v>76</v>
      </c>
      <c r="G383">
        <v>3</v>
      </c>
      <c r="H383">
        <f>ROUND(Calls[[#This Row],[Satisfactory Rating]],0)</f>
        <v>3</v>
      </c>
      <c r="I383" t="str" cm="1">
        <f t="array" ref="I383">_xlfn.IFS(Calls[[#This Row],[Duration (Min)]]&lt;=30,"Under 30 mins",Calls[[#This Row],[Duration (Min)]]&lt;=60,"Under 1h",Calls[[#This Row],[Duration (Min)]]&lt;=120,"Under 2",TRUE,"More than 2h")</f>
        <v>More than 2h</v>
      </c>
      <c r="J383">
        <f>IF(MONTH(Calls[[#This Row],[Date of Call]])&lt;=3,YEAR(Calls[[#This Row],[Date of Call]]),YEAR(Calls[[#This Row],[Date of Call]])+1)</f>
        <v>2025</v>
      </c>
      <c r="K383" t="str">
        <f>TEXT(Calls[[#This Row],[Date of Call]],"dddd")</f>
        <v>Tuesday</v>
      </c>
      <c r="L383" t="str">
        <f>TEXT(Calls[[#This Row],[Date of Call]],"mmm")</f>
        <v>Mar</v>
      </c>
    </row>
    <row r="384" spans="1:12" x14ac:dyDescent="0.3">
      <c r="A384" t="s">
        <v>388</v>
      </c>
      <c r="B384" t="s">
        <v>1011</v>
      </c>
      <c r="C384">
        <v>154</v>
      </c>
      <c r="D384" t="s">
        <v>1032</v>
      </c>
      <c r="E384" t="s">
        <v>1109</v>
      </c>
      <c r="F384">
        <v>33</v>
      </c>
      <c r="G384">
        <v>4</v>
      </c>
      <c r="H384">
        <f>ROUND(Calls[[#This Row],[Satisfactory Rating]],0)</f>
        <v>4</v>
      </c>
      <c r="I384" t="str" cm="1">
        <f t="array" ref="I384">_xlfn.IFS(Calls[[#This Row],[Duration (Min)]]&lt;=30,"Under 30 mins",Calls[[#This Row],[Duration (Min)]]&lt;=60,"Under 1h",Calls[[#This Row],[Duration (Min)]]&lt;=120,"Under 2",TRUE,"More than 2h")</f>
        <v>More than 2h</v>
      </c>
      <c r="J384">
        <f>IF(MONTH(Calls[[#This Row],[Date of Call]])&lt;=3,YEAR(Calls[[#This Row],[Date of Call]]),YEAR(Calls[[#This Row],[Date of Call]])+1)</f>
        <v>2025</v>
      </c>
      <c r="K384" t="str">
        <f>TEXT(Calls[[#This Row],[Date of Call]],"dddd")</f>
        <v>Tuesday</v>
      </c>
      <c r="L384" t="str">
        <f>TEXT(Calls[[#This Row],[Date of Call]],"mmm")</f>
        <v>Mar</v>
      </c>
    </row>
    <row r="385" spans="1:12" x14ac:dyDescent="0.3">
      <c r="A385" t="s">
        <v>389</v>
      </c>
      <c r="B385" t="s">
        <v>1010</v>
      </c>
      <c r="C385">
        <v>98</v>
      </c>
      <c r="D385" t="s">
        <v>1030</v>
      </c>
      <c r="E385" t="s">
        <v>1109</v>
      </c>
      <c r="F385">
        <v>145</v>
      </c>
      <c r="G385">
        <v>2.6</v>
      </c>
      <c r="H385">
        <f>ROUND(Calls[[#This Row],[Satisfactory Rating]],0)</f>
        <v>3</v>
      </c>
      <c r="I385" t="str" cm="1">
        <f t="array" ref="I385">_xlfn.IFS(Calls[[#This Row],[Duration (Min)]]&lt;=30,"Under 30 mins",Calls[[#This Row],[Duration (Min)]]&lt;=60,"Under 1h",Calls[[#This Row],[Duration (Min)]]&lt;=120,"Under 2",TRUE,"More than 2h")</f>
        <v>Under 2</v>
      </c>
      <c r="J385">
        <f>IF(MONTH(Calls[[#This Row],[Date of Call]])&lt;=3,YEAR(Calls[[#This Row],[Date of Call]]),YEAR(Calls[[#This Row],[Date of Call]])+1)</f>
        <v>2025</v>
      </c>
      <c r="K385" t="str">
        <f>TEXT(Calls[[#This Row],[Date of Call]],"dddd")</f>
        <v>Tuesday</v>
      </c>
      <c r="L385" t="str">
        <f>TEXT(Calls[[#This Row],[Date of Call]],"mmm")</f>
        <v>Mar</v>
      </c>
    </row>
    <row r="386" spans="1:12" x14ac:dyDescent="0.3">
      <c r="A386" t="s">
        <v>390</v>
      </c>
      <c r="B386" t="s">
        <v>1025</v>
      </c>
      <c r="C386">
        <v>108</v>
      </c>
      <c r="D386" t="s">
        <v>1029</v>
      </c>
      <c r="E386" t="s">
        <v>1109</v>
      </c>
      <c r="F386">
        <v>62</v>
      </c>
      <c r="G386">
        <v>1</v>
      </c>
      <c r="H386">
        <f>ROUND(Calls[[#This Row],[Satisfactory Rating]],0)</f>
        <v>1</v>
      </c>
      <c r="I386" t="str" cm="1">
        <f t="array" ref="I386">_xlfn.IFS(Calls[[#This Row],[Duration (Min)]]&lt;=30,"Under 30 mins",Calls[[#This Row],[Duration (Min)]]&lt;=60,"Under 1h",Calls[[#This Row],[Duration (Min)]]&lt;=120,"Under 2",TRUE,"More than 2h")</f>
        <v>Under 2</v>
      </c>
      <c r="J386">
        <f>IF(MONTH(Calls[[#This Row],[Date of Call]])&lt;=3,YEAR(Calls[[#This Row],[Date of Call]]),YEAR(Calls[[#This Row],[Date of Call]])+1)</f>
        <v>2025</v>
      </c>
      <c r="K386" t="str">
        <f>TEXT(Calls[[#This Row],[Date of Call]],"dddd")</f>
        <v>Tuesday</v>
      </c>
      <c r="L386" t="str">
        <f>TEXT(Calls[[#This Row],[Date of Call]],"mmm")</f>
        <v>Mar</v>
      </c>
    </row>
    <row r="387" spans="1:12" x14ac:dyDescent="0.3">
      <c r="A387" t="s">
        <v>391</v>
      </c>
      <c r="B387" t="s">
        <v>1013</v>
      </c>
      <c r="C387">
        <v>121</v>
      </c>
      <c r="D387" t="s">
        <v>1032</v>
      </c>
      <c r="E387" t="s">
        <v>1110</v>
      </c>
      <c r="F387">
        <v>126</v>
      </c>
      <c r="G387">
        <v>2.4</v>
      </c>
      <c r="H387">
        <f>ROUND(Calls[[#This Row],[Satisfactory Rating]],0)</f>
        <v>2</v>
      </c>
      <c r="I387" t="str" cm="1">
        <f t="array" ref="I387">_xlfn.IFS(Calls[[#This Row],[Duration (Min)]]&lt;=30,"Under 30 mins",Calls[[#This Row],[Duration (Min)]]&lt;=60,"Under 1h",Calls[[#This Row],[Duration (Min)]]&lt;=120,"Under 2",TRUE,"More than 2h")</f>
        <v>More than 2h</v>
      </c>
      <c r="J387">
        <f>IF(MONTH(Calls[[#This Row],[Date of Call]])&lt;=3,YEAR(Calls[[#This Row],[Date of Call]]),YEAR(Calls[[#This Row],[Date of Call]])+1)</f>
        <v>2025</v>
      </c>
      <c r="K387" t="str">
        <f>TEXT(Calls[[#This Row],[Date of Call]],"dddd")</f>
        <v>Wednesday</v>
      </c>
      <c r="L387" t="str">
        <f>TEXT(Calls[[#This Row],[Date of Call]],"mmm")</f>
        <v>Mar</v>
      </c>
    </row>
    <row r="388" spans="1:12" x14ac:dyDescent="0.3">
      <c r="A388" t="s">
        <v>392</v>
      </c>
      <c r="B388" t="s">
        <v>1006</v>
      </c>
      <c r="C388">
        <v>70</v>
      </c>
      <c r="D388" t="s">
        <v>1027</v>
      </c>
      <c r="E388" t="s">
        <v>1110</v>
      </c>
      <c r="F388">
        <v>147</v>
      </c>
      <c r="G388">
        <v>2.2000000000000002</v>
      </c>
      <c r="H388">
        <f>ROUND(Calls[[#This Row],[Satisfactory Rating]],0)</f>
        <v>2</v>
      </c>
      <c r="I388" t="str" cm="1">
        <f t="array" ref="I388">_xlfn.IFS(Calls[[#This Row],[Duration (Min)]]&lt;=30,"Under 30 mins",Calls[[#This Row],[Duration (Min)]]&lt;=60,"Under 1h",Calls[[#This Row],[Duration (Min)]]&lt;=120,"Under 2",TRUE,"More than 2h")</f>
        <v>Under 2</v>
      </c>
      <c r="J388">
        <f>IF(MONTH(Calls[[#This Row],[Date of Call]])&lt;=3,YEAR(Calls[[#This Row],[Date of Call]]),YEAR(Calls[[#This Row],[Date of Call]])+1)</f>
        <v>2025</v>
      </c>
      <c r="K388" t="str">
        <f>TEXT(Calls[[#This Row],[Date of Call]],"dddd")</f>
        <v>Wednesday</v>
      </c>
      <c r="L388" t="str">
        <f>TEXT(Calls[[#This Row],[Date of Call]],"mmm")</f>
        <v>Mar</v>
      </c>
    </row>
    <row r="389" spans="1:12" x14ac:dyDescent="0.3">
      <c r="A389" t="s">
        <v>393</v>
      </c>
      <c r="B389" t="s">
        <v>1024</v>
      </c>
      <c r="C389">
        <v>130</v>
      </c>
      <c r="D389" t="s">
        <v>1032</v>
      </c>
      <c r="E389" t="s">
        <v>1110</v>
      </c>
      <c r="F389">
        <v>93</v>
      </c>
      <c r="G389">
        <v>2.1</v>
      </c>
      <c r="H389">
        <f>ROUND(Calls[[#This Row],[Satisfactory Rating]],0)</f>
        <v>2</v>
      </c>
      <c r="I389" t="str" cm="1">
        <f t="array" ref="I389">_xlfn.IFS(Calls[[#This Row],[Duration (Min)]]&lt;=30,"Under 30 mins",Calls[[#This Row],[Duration (Min)]]&lt;=60,"Under 1h",Calls[[#This Row],[Duration (Min)]]&lt;=120,"Under 2",TRUE,"More than 2h")</f>
        <v>More than 2h</v>
      </c>
      <c r="J389">
        <f>IF(MONTH(Calls[[#This Row],[Date of Call]])&lt;=3,YEAR(Calls[[#This Row],[Date of Call]]),YEAR(Calls[[#This Row],[Date of Call]])+1)</f>
        <v>2025</v>
      </c>
      <c r="K389" t="str">
        <f>TEXT(Calls[[#This Row],[Date of Call]],"dddd")</f>
        <v>Wednesday</v>
      </c>
      <c r="L389" t="str">
        <f>TEXT(Calls[[#This Row],[Date of Call]],"mmm")</f>
        <v>Mar</v>
      </c>
    </row>
    <row r="390" spans="1:12" x14ac:dyDescent="0.3">
      <c r="A390" t="s">
        <v>394</v>
      </c>
      <c r="B390" t="s">
        <v>1006</v>
      </c>
      <c r="C390">
        <v>36</v>
      </c>
      <c r="D390" t="s">
        <v>1026</v>
      </c>
      <c r="E390" t="s">
        <v>1110</v>
      </c>
      <c r="F390">
        <v>24</v>
      </c>
      <c r="G390">
        <v>1.6</v>
      </c>
      <c r="H390">
        <f>ROUND(Calls[[#This Row],[Satisfactory Rating]],0)</f>
        <v>2</v>
      </c>
      <c r="I390" t="str" cm="1">
        <f t="array" ref="I390">_xlfn.IFS(Calls[[#This Row],[Duration (Min)]]&lt;=30,"Under 30 mins",Calls[[#This Row],[Duration (Min)]]&lt;=60,"Under 1h",Calls[[#This Row],[Duration (Min)]]&lt;=120,"Under 2",TRUE,"More than 2h")</f>
        <v>Under 1h</v>
      </c>
      <c r="J390">
        <f>IF(MONTH(Calls[[#This Row],[Date of Call]])&lt;=3,YEAR(Calls[[#This Row],[Date of Call]]),YEAR(Calls[[#This Row],[Date of Call]])+1)</f>
        <v>2025</v>
      </c>
      <c r="K390" t="str">
        <f>TEXT(Calls[[#This Row],[Date of Call]],"dddd")</f>
        <v>Wednesday</v>
      </c>
      <c r="L390" t="str">
        <f>TEXT(Calls[[#This Row],[Date of Call]],"mmm")</f>
        <v>Mar</v>
      </c>
    </row>
    <row r="391" spans="1:12" x14ac:dyDescent="0.3">
      <c r="A391" t="s">
        <v>395</v>
      </c>
      <c r="B391" t="s">
        <v>1009</v>
      </c>
      <c r="C391">
        <v>69</v>
      </c>
      <c r="D391" t="s">
        <v>1032</v>
      </c>
      <c r="E391" t="s">
        <v>1110</v>
      </c>
      <c r="F391">
        <v>20</v>
      </c>
      <c r="G391">
        <v>2.5</v>
      </c>
      <c r="H391">
        <f>ROUND(Calls[[#This Row],[Satisfactory Rating]],0)</f>
        <v>3</v>
      </c>
      <c r="I391" t="str" cm="1">
        <f t="array" ref="I391">_xlfn.IFS(Calls[[#This Row],[Duration (Min)]]&lt;=30,"Under 30 mins",Calls[[#This Row],[Duration (Min)]]&lt;=60,"Under 1h",Calls[[#This Row],[Duration (Min)]]&lt;=120,"Under 2",TRUE,"More than 2h")</f>
        <v>Under 2</v>
      </c>
      <c r="J391">
        <f>IF(MONTH(Calls[[#This Row],[Date of Call]])&lt;=3,YEAR(Calls[[#This Row],[Date of Call]]),YEAR(Calls[[#This Row],[Date of Call]])+1)</f>
        <v>2025</v>
      </c>
      <c r="K391" t="str">
        <f>TEXT(Calls[[#This Row],[Date of Call]],"dddd")</f>
        <v>Wednesday</v>
      </c>
      <c r="L391" t="str">
        <f>TEXT(Calls[[#This Row],[Date of Call]],"mmm")</f>
        <v>Mar</v>
      </c>
    </row>
    <row r="392" spans="1:12" x14ac:dyDescent="0.3">
      <c r="A392" t="s">
        <v>396</v>
      </c>
      <c r="B392" t="s">
        <v>1016</v>
      </c>
      <c r="C392">
        <v>32</v>
      </c>
      <c r="D392" t="s">
        <v>1032</v>
      </c>
      <c r="E392" t="s">
        <v>1111</v>
      </c>
      <c r="F392">
        <v>128</v>
      </c>
      <c r="G392">
        <v>1.6</v>
      </c>
      <c r="H392">
        <f>ROUND(Calls[[#This Row],[Satisfactory Rating]],0)</f>
        <v>2</v>
      </c>
      <c r="I392" t="str" cm="1">
        <f t="array" ref="I392">_xlfn.IFS(Calls[[#This Row],[Duration (Min)]]&lt;=30,"Under 30 mins",Calls[[#This Row],[Duration (Min)]]&lt;=60,"Under 1h",Calls[[#This Row],[Duration (Min)]]&lt;=120,"Under 2",TRUE,"More than 2h")</f>
        <v>Under 1h</v>
      </c>
      <c r="J392">
        <f>IF(MONTH(Calls[[#This Row],[Date of Call]])&lt;=3,YEAR(Calls[[#This Row],[Date of Call]]),YEAR(Calls[[#This Row],[Date of Call]])+1)</f>
        <v>2025</v>
      </c>
      <c r="K392" t="str">
        <f>TEXT(Calls[[#This Row],[Date of Call]],"dddd")</f>
        <v>Thursday</v>
      </c>
      <c r="L392" t="str">
        <f>TEXT(Calls[[#This Row],[Date of Call]],"mmm")</f>
        <v>Mar</v>
      </c>
    </row>
    <row r="393" spans="1:12" x14ac:dyDescent="0.3">
      <c r="A393" t="s">
        <v>397</v>
      </c>
      <c r="B393" t="s">
        <v>1014</v>
      </c>
      <c r="C393">
        <v>46</v>
      </c>
      <c r="D393" t="s">
        <v>1028</v>
      </c>
      <c r="E393" t="s">
        <v>1111</v>
      </c>
      <c r="F393">
        <v>150</v>
      </c>
      <c r="G393">
        <v>2.4</v>
      </c>
      <c r="H393">
        <f>ROUND(Calls[[#This Row],[Satisfactory Rating]],0)</f>
        <v>2</v>
      </c>
      <c r="I393" t="str" cm="1">
        <f t="array" ref="I393">_xlfn.IFS(Calls[[#This Row],[Duration (Min)]]&lt;=30,"Under 30 mins",Calls[[#This Row],[Duration (Min)]]&lt;=60,"Under 1h",Calls[[#This Row],[Duration (Min)]]&lt;=120,"Under 2",TRUE,"More than 2h")</f>
        <v>Under 1h</v>
      </c>
      <c r="J393">
        <f>IF(MONTH(Calls[[#This Row],[Date of Call]])&lt;=3,YEAR(Calls[[#This Row],[Date of Call]]),YEAR(Calls[[#This Row],[Date of Call]])+1)</f>
        <v>2025</v>
      </c>
      <c r="K393" t="str">
        <f>TEXT(Calls[[#This Row],[Date of Call]],"dddd")</f>
        <v>Thursday</v>
      </c>
      <c r="L393" t="str">
        <f>TEXT(Calls[[#This Row],[Date of Call]],"mmm")</f>
        <v>Mar</v>
      </c>
    </row>
    <row r="394" spans="1:12" x14ac:dyDescent="0.3">
      <c r="A394" t="s">
        <v>398</v>
      </c>
      <c r="B394" t="s">
        <v>1024</v>
      </c>
      <c r="C394">
        <v>42</v>
      </c>
      <c r="D394" t="s">
        <v>1030</v>
      </c>
      <c r="E394" t="s">
        <v>1111</v>
      </c>
      <c r="F394">
        <v>139</v>
      </c>
      <c r="G394">
        <v>2.2000000000000002</v>
      </c>
      <c r="H394">
        <f>ROUND(Calls[[#This Row],[Satisfactory Rating]],0)</f>
        <v>2</v>
      </c>
      <c r="I394" t="str" cm="1">
        <f t="array" ref="I394">_xlfn.IFS(Calls[[#This Row],[Duration (Min)]]&lt;=30,"Under 30 mins",Calls[[#This Row],[Duration (Min)]]&lt;=60,"Under 1h",Calls[[#This Row],[Duration (Min)]]&lt;=120,"Under 2",TRUE,"More than 2h")</f>
        <v>Under 1h</v>
      </c>
      <c r="J394">
        <f>IF(MONTH(Calls[[#This Row],[Date of Call]])&lt;=3,YEAR(Calls[[#This Row],[Date of Call]]),YEAR(Calls[[#This Row],[Date of Call]])+1)</f>
        <v>2025</v>
      </c>
      <c r="K394" t="str">
        <f>TEXT(Calls[[#This Row],[Date of Call]],"dddd")</f>
        <v>Thursday</v>
      </c>
      <c r="L394" t="str">
        <f>TEXT(Calls[[#This Row],[Date of Call]],"mmm")</f>
        <v>Mar</v>
      </c>
    </row>
    <row r="395" spans="1:12" x14ac:dyDescent="0.3">
      <c r="A395" t="s">
        <v>399</v>
      </c>
      <c r="B395" t="s">
        <v>1023</v>
      </c>
      <c r="C395">
        <v>109</v>
      </c>
      <c r="D395" t="s">
        <v>1026</v>
      </c>
      <c r="E395" t="s">
        <v>1111</v>
      </c>
      <c r="F395">
        <v>78</v>
      </c>
      <c r="G395">
        <v>1.5</v>
      </c>
      <c r="H395">
        <f>ROUND(Calls[[#This Row],[Satisfactory Rating]],0)</f>
        <v>2</v>
      </c>
      <c r="I395" t="str" cm="1">
        <f t="array" ref="I395">_xlfn.IFS(Calls[[#This Row],[Duration (Min)]]&lt;=30,"Under 30 mins",Calls[[#This Row],[Duration (Min)]]&lt;=60,"Under 1h",Calls[[#This Row],[Duration (Min)]]&lt;=120,"Under 2",TRUE,"More than 2h")</f>
        <v>Under 2</v>
      </c>
      <c r="J395">
        <f>IF(MONTH(Calls[[#This Row],[Date of Call]])&lt;=3,YEAR(Calls[[#This Row],[Date of Call]]),YEAR(Calls[[#This Row],[Date of Call]])+1)</f>
        <v>2025</v>
      </c>
      <c r="K395" t="str">
        <f>TEXT(Calls[[#This Row],[Date of Call]],"dddd")</f>
        <v>Thursday</v>
      </c>
      <c r="L395" t="str">
        <f>TEXT(Calls[[#This Row],[Date of Call]],"mmm")</f>
        <v>Mar</v>
      </c>
    </row>
    <row r="396" spans="1:12" x14ac:dyDescent="0.3">
      <c r="A396" t="s">
        <v>400</v>
      </c>
      <c r="B396" t="s">
        <v>1006</v>
      </c>
      <c r="C396">
        <v>141</v>
      </c>
      <c r="D396" t="s">
        <v>1029</v>
      </c>
      <c r="E396" t="s">
        <v>1111</v>
      </c>
      <c r="F396">
        <v>45</v>
      </c>
      <c r="G396">
        <v>2.2999999999999998</v>
      </c>
      <c r="H396">
        <f>ROUND(Calls[[#This Row],[Satisfactory Rating]],0)</f>
        <v>2</v>
      </c>
      <c r="I396" t="str" cm="1">
        <f t="array" ref="I396">_xlfn.IFS(Calls[[#This Row],[Duration (Min)]]&lt;=30,"Under 30 mins",Calls[[#This Row],[Duration (Min)]]&lt;=60,"Under 1h",Calls[[#This Row],[Duration (Min)]]&lt;=120,"Under 2",TRUE,"More than 2h")</f>
        <v>More than 2h</v>
      </c>
      <c r="J396">
        <f>IF(MONTH(Calls[[#This Row],[Date of Call]])&lt;=3,YEAR(Calls[[#This Row],[Date of Call]]),YEAR(Calls[[#This Row],[Date of Call]])+1)</f>
        <v>2025</v>
      </c>
      <c r="K396" t="str">
        <f>TEXT(Calls[[#This Row],[Date of Call]],"dddd")</f>
        <v>Thursday</v>
      </c>
      <c r="L396" t="str">
        <f>TEXT(Calls[[#This Row],[Date of Call]],"mmm")</f>
        <v>Mar</v>
      </c>
    </row>
    <row r="397" spans="1:12" x14ac:dyDescent="0.3">
      <c r="A397" t="s">
        <v>401</v>
      </c>
      <c r="B397" t="s">
        <v>1023</v>
      </c>
      <c r="C397">
        <v>68</v>
      </c>
      <c r="D397" t="s">
        <v>1026</v>
      </c>
      <c r="E397" t="s">
        <v>1112</v>
      </c>
      <c r="F397">
        <v>87</v>
      </c>
      <c r="G397">
        <v>2.8</v>
      </c>
      <c r="H397">
        <f>ROUND(Calls[[#This Row],[Satisfactory Rating]],0)</f>
        <v>3</v>
      </c>
      <c r="I397" t="str" cm="1">
        <f t="array" ref="I397">_xlfn.IFS(Calls[[#This Row],[Duration (Min)]]&lt;=30,"Under 30 mins",Calls[[#This Row],[Duration (Min)]]&lt;=60,"Under 1h",Calls[[#This Row],[Duration (Min)]]&lt;=120,"Under 2",TRUE,"More than 2h")</f>
        <v>Under 2</v>
      </c>
      <c r="J397">
        <f>IF(MONTH(Calls[[#This Row],[Date of Call]])&lt;=3,YEAR(Calls[[#This Row],[Date of Call]]),YEAR(Calls[[#This Row],[Date of Call]])+1)</f>
        <v>2025</v>
      </c>
      <c r="K397" t="str">
        <f>TEXT(Calls[[#This Row],[Date of Call]],"dddd")</f>
        <v>Friday</v>
      </c>
      <c r="L397" t="str">
        <f>TEXT(Calls[[#This Row],[Date of Call]],"mmm")</f>
        <v>Mar</v>
      </c>
    </row>
    <row r="398" spans="1:12" x14ac:dyDescent="0.3">
      <c r="A398" t="s">
        <v>402</v>
      </c>
      <c r="B398" t="s">
        <v>1025</v>
      </c>
      <c r="C398">
        <v>20</v>
      </c>
      <c r="D398" t="s">
        <v>1030</v>
      </c>
      <c r="E398" t="s">
        <v>1112</v>
      </c>
      <c r="F398">
        <v>56</v>
      </c>
      <c r="G398">
        <v>1.7</v>
      </c>
      <c r="H398">
        <f>ROUND(Calls[[#This Row],[Satisfactory Rating]],0)</f>
        <v>2</v>
      </c>
      <c r="I398" t="str" cm="1">
        <f t="array" ref="I398">_xlfn.IFS(Calls[[#This Row],[Duration (Min)]]&lt;=30,"Under 30 mins",Calls[[#This Row],[Duration (Min)]]&lt;=60,"Under 1h",Calls[[#This Row],[Duration (Min)]]&lt;=120,"Under 2",TRUE,"More than 2h")</f>
        <v>Under 30 mins</v>
      </c>
      <c r="J398">
        <f>IF(MONTH(Calls[[#This Row],[Date of Call]])&lt;=3,YEAR(Calls[[#This Row],[Date of Call]]),YEAR(Calls[[#This Row],[Date of Call]])+1)</f>
        <v>2025</v>
      </c>
      <c r="K398" t="str">
        <f>TEXT(Calls[[#This Row],[Date of Call]],"dddd")</f>
        <v>Friday</v>
      </c>
      <c r="L398" t="str">
        <f>TEXT(Calls[[#This Row],[Date of Call]],"mmm")</f>
        <v>Mar</v>
      </c>
    </row>
    <row r="399" spans="1:12" x14ac:dyDescent="0.3">
      <c r="A399" t="s">
        <v>403</v>
      </c>
      <c r="B399" t="s">
        <v>1008</v>
      </c>
      <c r="C399">
        <v>147</v>
      </c>
      <c r="D399" t="s">
        <v>1029</v>
      </c>
      <c r="E399" t="s">
        <v>1112</v>
      </c>
      <c r="F399">
        <v>90</v>
      </c>
      <c r="G399">
        <v>2.2999999999999998</v>
      </c>
      <c r="H399">
        <f>ROUND(Calls[[#This Row],[Satisfactory Rating]],0)</f>
        <v>2</v>
      </c>
      <c r="I399" t="str" cm="1">
        <f t="array" ref="I399">_xlfn.IFS(Calls[[#This Row],[Duration (Min)]]&lt;=30,"Under 30 mins",Calls[[#This Row],[Duration (Min)]]&lt;=60,"Under 1h",Calls[[#This Row],[Duration (Min)]]&lt;=120,"Under 2",TRUE,"More than 2h")</f>
        <v>More than 2h</v>
      </c>
      <c r="J399">
        <f>IF(MONTH(Calls[[#This Row],[Date of Call]])&lt;=3,YEAR(Calls[[#This Row],[Date of Call]]),YEAR(Calls[[#This Row],[Date of Call]])+1)</f>
        <v>2025</v>
      </c>
      <c r="K399" t="str">
        <f>TEXT(Calls[[#This Row],[Date of Call]],"dddd")</f>
        <v>Friday</v>
      </c>
      <c r="L399" t="str">
        <f>TEXT(Calls[[#This Row],[Date of Call]],"mmm")</f>
        <v>Mar</v>
      </c>
    </row>
    <row r="400" spans="1:12" x14ac:dyDescent="0.3">
      <c r="A400" t="s">
        <v>404</v>
      </c>
      <c r="B400" t="s">
        <v>1017</v>
      </c>
      <c r="C400">
        <v>71</v>
      </c>
      <c r="D400" t="s">
        <v>1029</v>
      </c>
      <c r="E400" t="s">
        <v>1112</v>
      </c>
      <c r="F400">
        <v>118</v>
      </c>
      <c r="G400">
        <v>2</v>
      </c>
      <c r="H400">
        <f>ROUND(Calls[[#This Row],[Satisfactory Rating]],0)</f>
        <v>2</v>
      </c>
      <c r="I400" t="str" cm="1">
        <f t="array" ref="I400">_xlfn.IFS(Calls[[#This Row],[Duration (Min)]]&lt;=30,"Under 30 mins",Calls[[#This Row],[Duration (Min)]]&lt;=60,"Under 1h",Calls[[#This Row],[Duration (Min)]]&lt;=120,"Under 2",TRUE,"More than 2h")</f>
        <v>Under 2</v>
      </c>
      <c r="J400">
        <f>IF(MONTH(Calls[[#This Row],[Date of Call]])&lt;=3,YEAR(Calls[[#This Row],[Date of Call]]),YEAR(Calls[[#This Row],[Date of Call]])+1)</f>
        <v>2025</v>
      </c>
      <c r="K400" t="str">
        <f>TEXT(Calls[[#This Row],[Date of Call]],"dddd")</f>
        <v>Friday</v>
      </c>
      <c r="L400" t="str">
        <f>TEXT(Calls[[#This Row],[Date of Call]],"mmm")</f>
        <v>Mar</v>
      </c>
    </row>
    <row r="401" spans="1:12" x14ac:dyDescent="0.3">
      <c r="A401" t="s">
        <v>405</v>
      </c>
      <c r="B401" t="s">
        <v>1006</v>
      </c>
      <c r="C401">
        <v>128</v>
      </c>
      <c r="D401" t="s">
        <v>1029</v>
      </c>
      <c r="E401" t="s">
        <v>1112</v>
      </c>
      <c r="F401">
        <v>46</v>
      </c>
      <c r="G401">
        <v>4.4000000000000004</v>
      </c>
      <c r="H401">
        <f>ROUND(Calls[[#This Row],[Satisfactory Rating]],0)</f>
        <v>4</v>
      </c>
      <c r="I401" t="str" cm="1">
        <f t="array" ref="I401">_xlfn.IFS(Calls[[#This Row],[Duration (Min)]]&lt;=30,"Under 30 mins",Calls[[#This Row],[Duration (Min)]]&lt;=60,"Under 1h",Calls[[#This Row],[Duration (Min)]]&lt;=120,"Under 2",TRUE,"More than 2h")</f>
        <v>More than 2h</v>
      </c>
      <c r="J401">
        <f>IF(MONTH(Calls[[#This Row],[Date of Call]])&lt;=3,YEAR(Calls[[#This Row],[Date of Call]]),YEAR(Calls[[#This Row],[Date of Call]])+1)</f>
        <v>2025</v>
      </c>
      <c r="K401" t="str">
        <f>TEXT(Calls[[#This Row],[Date of Call]],"dddd")</f>
        <v>Friday</v>
      </c>
      <c r="L401" t="str">
        <f>TEXT(Calls[[#This Row],[Date of Call]],"mmm")</f>
        <v>Mar</v>
      </c>
    </row>
    <row r="402" spans="1:12" x14ac:dyDescent="0.3">
      <c r="A402" t="s">
        <v>406</v>
      </c>
      <c r="B402" t="s">
        <v>1025</v>
      </c>
      <c r="C402">
        <v>157</v>
      </c>
      <c r="D402" t="s">
        <v>1026</v>
      </c>
      <c r="E402" t="s">
        <v>1113</v>
      </c>
      <c r="F402">
        <v>35</v>
      </c>
      <c r="G402">
        <v>3.4</v>
      </c>
      <c r="H402">
        <f>ROUND(Calls[[#This Row],[Satisfactory Rating]],0)</f>
        <v>3</v>
      </c>
      <c r="I402" t="str" cm="1">
        <f t="array" ref="I402">_xlfn.IFS(Calls[[#This Row],[Duration (Min)]]&lt;=30,"Under 30 mins",Calls[[#This Row],[Duration (Min)]]&lt;=60,"Under 1h",Calls[[#This Row],[Duration (Min)]]&lt;=120,"Under 2",TRUE,"More than 2h")</f>
        <v>More than 2h</v>
      </c>
      <c r="J402">
        <f>IF(MONTH(Calls[[#This Row],[Date of Call]])&lt;=3,YEAR(Calls[[#This Row],[Date of Call]]),YEAR(Calls[[#This Row],[Date of Call]])+1)</f>
        <v>2025</v>
      </c>
      <c r="K402" t="str">
        <f>TEXT(Calls[[#This Row],[Date of Call]],"dddd")</f>
        <v>Saturday</v>
      </c>
      <c r="L402" t="str">
        <f>TEXT(Calls[[#This Row],[Date of Call]],"mmm")</f>
        <v>Mar</v>
      </c>
    </row>
    <row r="403" spans="1:12" x14ac:dyDescent="0.3">
      <c r="A403" t="s">
        <v>407</v>
      </c>
      <c r="B403" t="s">
        <v>1010</v>
      </c>
      <c r="C403">
        <v>29</v>
      </c>
      <c r="D403" t="s">
        <v>1028</v>
      </c>
      <c r="E403" t="s">
        <v>1113</v>
      </c>
      <c r="F403">
        <v>60</v>
      </c>
      <c r="G403">
        <v>2.5</v>
      </c>
      <c r="H403">
        <f>ROUND(Calls[[#This Row],[Satisfactory Rating]],0)</f>
        <v>3</v>
      </c>
      <c r="I403" t="str" cm="1">
        <f t="array" ref="I403">_xlfn.IFS(Calls[[#This Row],[Duration (Min)]]&lt;=30,"Under 30 mins",Calls[[#This Row],[Duration (Min)]]&lt;=60,"Under 1h",Calls[[#This Row],[Duration (Min)]]&lt;=120,"Under 2",TRUE,"More than 2h")</f>
        <v>Under 30 mins</v>
      </c>
      <c r="J403">
        <f>IF(MONTH(Calls[[#This Row],[Date of Call]])&lt;=3,YEAR(Calls[[#This Row],[Date of Call]]),YEAR(Calls[[#This Row],[Date of Call]])+1)</f>
        <v>2025</v>
      </c>
      <c r="K403" t="str">
        <f>TEXT(Calls[[#This Row],[Date of Call]],"dddd")</f>
        <v>Saturday</v>
      </c>
      <c r="L403" t="str">
        <f>TEXT(Calls[[#This Row],[Date of Call]],"mmm")</f>
        <v>Mar</v>
      </c>
    </row>
    <row r="404" spans="1:12" x14ac:dyDescent="0.3">
      <c r="A404" t="s">
        <v>408</v>
      </c>
      <c r="B404" t="s">
        <v>1016</v>
      </c>
      <c r="C404">
        <v>26</v>
      </c>
      <c r="D404" t="s">
        <v>1032</v>
      </c>
      <c r="E404" t="s">
        <v>1113</v>
      </c>
      <c r="F404">
        <v>128</v>
      </c>
      <c r="G404">
        <v>2</v>
      </c>
      <c r="H404">
        <f>ROUND(Calls[[#This Row],[Satisfactory Rating]],0)</f>
        <v>2</v>
      </c>
      <c r="I404" t="str" cm="1">
        <f t="array" ref="I404">_xlfn.IFS(Calls[[#This Row],[Duration (Min)]]&lt;=30,"Under 30 mins",Calls[[#This Row],[Duration (Min)]]&lt;=60,"Under 1h",Calls[[#This Row],[Duration (Min)]]&lt;=120,"Under 2",TRUE,"More than 2h")</f>
        <v>Under 30 mins</v>
      </c>
      <c r="J404">
        <f>IF(MONTH(Calls[[#This Row],[Date of Call]])&lt;=3,YEAR(Calls[[#This Row],[Date of Call]]),YEAR(Calls[[#This Row],[Date of Call]])+1)</f>
        <v>2025</v>
      </c>
      <c r="K404" t="str">
        <f>TEXT(Calls[[#This Row],[Date of Call]],"dddd")</f>
        <v>Saturday</v>
      </c>
      <c r="L404" t="str">
        <f>TEXT(Calls[[#This Row],[Date of Call]],"mmm")</f>
        <v>Mar</v>
      </c>
    </row>
    <row r="405" spans="1:12" x14ac:dyDescent="0.3">
      <c r="A405" t="s">
        <v>409</v>
      </c>
      <c r="B405" t="s">
        <v>1011</v>
      </c>
      <c r="C405">
        <v>60</v>
      </c>
      <c r="D405" t="s">
        <v>1027</v>
      </c>
      <c r="E405" t="s">
        <v>1113</v>
      </c>
      <c r="F405">
        <v>142</v>
      </c>
      <c r="G405">
        <v>4</v>
      </c>
      <c r="H405">
        <f>ROUND(Calls[[#This Row],[Satisfactory Rating]],0)</f>
        <v>4</v>
      </c>
      <c r="I405" t="str" cm="1">
        <f t="array" ref="I405">_xlfn.IFS(Calls[[#This Row],[Duration (Min)]]&lt;=30,"Under 30 mins",Calls[[#This Row],[Duration (Min)]]&lt;=60,"Under 1h",Calls[[#This Row],[Duration (Min)]]&lt;=120,"Under 2",TRUE,"More than 2h")</f>
        <v>Under 1h</v>
      </c>
      <c r="J405">
        <f>IF(MONTH(Calls[[#This Row],[Date of Call]])&lt;=3,YEAR(Calls[[#This Row],[Date of Call]]),YEAR(Calls[[#This Row],[Date of Call]])+1)</f>
        <v>2025</v>
      </c>
      <c r="K405" t="str">
        <f>TEXT(Calls[[#This Row],[Date of Call]],"dddd")</f>
        <v>Saturday</v>
      </c>
      <c r="L405" t="str">
        <f>TEXT(Calls[[#This Row],[Date of Call]],"mmm")</f>
        <v>Mar</v>
      </c>
    </row>
    <row r="406" spans="1:12" x14ac:dyDescent="0.3">
      <c r="A406" t="s">
        <v>410</v>
      </c>
      <c r="B406" t="s">
        <v>1018</v>
      </c>
      <c r="C406">
        <v>124</v>
      </c>
      <c r="D406" t="s">
        <v>1028</v>
      </c>
      <c r="E406" t="s">
        <v>1113</v>
      </c>
      <c r="F406">
        <v>31</v>
      </c>
      <c r="G406">
        <v>2.2999999999999998</v>
      </c>
      <c r="H406">
        <f>ROUND(Calls[[#This Row],[Satisfactory Rating]],0)</f>
        <v>2</v>
      </c>
      <c r="I406" t="str" cm="1">
        <f t="array" ref="I406">_xlfn.IFS(Calls[[#This Row],[Duration (Min)]]&lt;=30,"Under 30 mins",Calls[[#This Row],[Duration (Min)]]&lt;=60,"Under 1h",Calls[[#This Row],[Duration (Min)]]&lt;=120,"Under 2",TRUE,"More than 2h")</f>
        <v>More than 2h</v>
      </c>
      <c r="J406">
        <f>IF(MONTH(Calls[[#This Row],[Date of Call]])&lt;=3,YEAR(Calls[[#This Row],[Date of Call]]),YEAR(Calls[[#This Row],[Date of Call]])+1)</f>
        <v>2025</v>
      </c>
      <c r="K406" t="str">
        <f>TEXT(Calls[[#This Row],[Date of Call]],"dddd")</f>
        <v>Saturday</v>
      </c>
      <c r="L406" t="str">
        <f>TEXT(Calls[[#This Row],[Date of Call]],"mmm")</f>
        <v>Mar</v>
      </c>
    </row>
    <row r="407" spans="1:12" x14ac:dyDescent="0.3">
      <c r="A407" t="s">
        <v>411</v>
      </c>
      <c r="B407" t="s">
        <v>1024</v>
      </c>
      <c r="C407">
        <v>90</v>
      </c>
      <c r="D407" t="s">
        <v>1028</v>
      </c>
      <c r="E407" t="s">
        <v>1114</v>
      </c>
      <c r="F407">
        <v>94</v>
      </c>
      <c r="G407">
        <v>1.2</v>
      </c>
      <c r="H407">
        <f>ROUND(Calls[[#This Row],[Satisfactory Rating]],0)</f>
        <v>1</v>
      </c>
      <c r="I407" t="str" cm="1">
        <f t="array" ref="I407">_xlfn.IFS(Calls[[#This Row],[Duration (Min)]]&lt;=30,"Under 30 mins",Calls[[#This Row],[Duration (Min)]]&lt;=60,"Under 1h",Calls[[#This Row],[Duration (Min)]]&lt;=120,"Under 2",TRUE,"More than 2h")</f>
        <v>Under 2</v>
      </c>
      <c r="J407">
        <f>IF(MONTH(Calls[[#This Row],[Date of Call]])&lt;=3,YEAR(Calls[[#This Row],[Date of Call]]),YEAR(Calls[[#This Row],[Date of Call]])+1)</f>
        <v>2025</v>
      </c>
      <c r="K407" t="str">
        <f>TEXT(Calls[[#This Row],[Date of Call]],"dddd")</f>
        <v>Sunday</v>
      </c>
      <c r="L407" t="str">
        <f>TEXT(Calls[[#This Row],[Date of Call]],"mmm")</f>
        <v>Mar</v>
      </c>
    </row>
    <row r="408" spans="1:12" x14ac:dyDescent="0.3">
      <c r="A408" t="s">
        <v>412</v>
      </c>
      <c r="B408" t="s">
        <v>1009</v>
      </c>
      <c r="C408">
        <v>80</v>
      </c>
      <c r="D408" t="s">
        <v>1028</v>
      </c>
      <c r="E408" t="s">
        <v>1114</v>
      </c>
      <c r="F408">
        <v>20</v>
      </c>
      <c r="G408">
        <v>1.3</v>
      </c>
      <c r="H408">
        <f>ROUND(Calls[[#This Row],[Satisfactory Rating]],0)</f>
        <v>1</v>
      </c>
      <c r="I408" t="str" cm="1">
        <f t="array" ref="I408">_xlfn.IFS(Calls[[#This Row],[Duration (Min)]]&lt;=30,"Under 30 mins",Calls[[#This Row],[Duration (Min)]]&lt;=60,"Under 1h",Calls[[#This Row],[Duration (Min)]]&lt;=120,"Under 2",TRUE,"More than 2h")</f>
        <v>Under 2</v>
      </c>
      <c r="J408">
        <f>IF(MONTH(Calls[[#This Row],[Date of Call]])&lt;=3,YEAR(Calls[[#This Row],[Date of Call]]),YEAR(Calls[[#This Row],[Date of Call]])+1)</f>
        <v>2025</v>
      </c>
      <c r="K408" t="str">
        <f>TEXT(Calls[[#This Row],[Date of Call]],"dddd")</f>
        <v>Sunday</v>
      </c>
      <c r="L408" t="str">
        <f>TEXT(Calls[[#This Row],[Date of Call]],"mmm")</f>
        <v>Mar</v>
      </c>
    </row>
    <row r="409" spans="1:12" x14ac:dyDescent="0.3">
      <c r="A409" t="s">
        <v>413</v>
      </c>
      <c r="B409" t="s">
        <v>1010</v>
      </c>
      <c r="C409">
        <v>16</v>
      </c>
      <c r="D409" t="s">
        <v>1031</v>
      </c>
      <c r="E409" t="s">
        <v>1114</v>
      </c>
      <c r="F409">
        <v>124</v>
      </c>
      <c r="G409">
        <v>2.4</v>
      </c>
      <c r="H409">
        <f>ROUND(Calls[[#This Row],[Satisfactory Rating]],0)</f>
        <v>2</v>
      </c>
      <c r="I409" t="str" cm="1">
        <f t="array" ref="I409">_xlfn.IFS(Calls[[#This Row],[Duration (Min)]]&lt;=30,"Under 30 mins",Calls[[#This Row],[Duration (Min)]]&lt;=60,"Under 1h",Calls[[#This Row],[Duration (Min)]]&lt;=120,"Under 2",TRUE,"More than 2h")</f>
        <v>Under 30 mins</v>
      </c>
      <c r="J409">
        <f>IF(MONTH(Calls[[#This Row],[Date of Call]])&lt;=3,YEAR(Calls[[#This Row],[Date of Call]]),YEAR(Calls[[#This Row],[Date of Call]])+1)</f>
        <v>2025</v>
      </c>
      <c r="K409" t="str">
        <f>TEXT(Calls[[#This Row],[Date of Call]],"dddd")</f>
        <v>Sunday</v>
      </c>
      <c r="L409" t="str">
        <f>TEXT(Calls[[#This Row],[Date of Call]],"mmm")</f>
        <v>Mar</v>
      </c>
    </row>
    <row r="410" spans="1:12" x14ac:dyDescent="0.3">
      <c r="A410" t="s">
        <v>414</v>
      </c>
      <c r="B410" t="s">
        <v>1021</v>
      </c>
      <c r="C410">
        <v>78</v>
      </c>
      <c r="D410" t="s">
        <v>1031</v>
      </c>
      <c r="E410" t="s">
        <v>1114</v>
      </c>
      <c r="F410">
        <v>123</v>
      </c>
      <c r="G410">
        <v>2.2999999999999998</v>
      </c>
      <c r="H410">
        <f>ROUND(Calls[[#This Row],[Satisfactory Rating]],0)</f>
        <v>2</v>
      </c>
      <c r="I410" t="str" cm="1">
        <f t="array" ref="I410">_xlfn.IFS(Calls[[#This Row],[Duration (Min)]]&lt;=30,"Under 30 mins",Calls[[#This Row],[Duration (Min)]]&lt;=60,"Under 1h",Calls[[#This Row],[Duration (Min)]]&lt;=120,"Under 2",TRUE,"More than 2h")</f>
        <v>Under 2</v>
      </c>
      <c r="J410">
        <f>IF(MONTH(Calls[[#This Row],[Date of Call]])&lt;=3,YEAR(Calls[[#This Row],[Date of Call]]),YEAR(Calls[[#This Row],[Date of Call]])+1)</f>
        <v>2025</v>
      </c>
      <c r="K410" t="str">
        <f>TEXT(Calls[[#This Row],[Date of Call]],"dddd")</f>
        <v>Sunday</v>
      </c>
      <c r="L410" t="str">
        <f>TEXT(Calls[[#This Row],[Date of Call]],"mmm")</f>
        <v>Mar</v>
      </c>
    </row>
    <row r="411" spans="1:12" x14ac:dyDescent="0.3">
      <c r="A411" t="s">
        <v>415</v>
      </c>
      <c r="B411" t="s">
        <v>1009</v>
      </c>
      <c r="C411">
        <v>94</v>
      </c>
      <c r="D411" t="s">
        <v>1026</v>
      </c>
      <c r="E411" t="s">
        <v>1114</v>
      </c>
      <c r="F411">
        <v>68</v>
      </c>
      <c r="G411">
        <v>3</v>
      </c>
      <c r="H411">
        <f>ROUND(Calls[[#This Row],[Satisfactory Rating]],0)</f>
        <v>3</v>
      </c>
      <c r="I411" t="str" cm="1">
        <f t="array" ref="I411">_xlfn.IFS(Calls[[#This Row],[Duration (Min)]]&lt;=30,"Under 30 mins",Calls[[#This Row],[Duration (Min)]]&lt;=60,"Under 1h",Calls[[#This Row],[Duration (Min)]]&lt;=120,"Under 2",TRUE,"More than 2h")</f>
        <v>Under 2</v>
      </c>
      <c r="J411">
        <f>IF(MONTH(Calls[[#This Row],[Date of Call]])&lt;=3,YEAR(Calls[[#This Row],[Date of Call]]),YEAR(Calls[[#This Row],[Date of Call]])+1)</f>
        <v>2025</v>
      </c>
      <c r="K411" t="str">
        <f>TEXT(Calls[[#This Row],[Date of Call]],"dddd")</f>
        <v>Sunday</v>
      </c>
      <c r="L411" t="str">
        <f>TEXT(Calls[[#This Row],[Date of Call]],"mmm")</f>
        <v>Mar</v>
      </c>
    </row>
    <row r="412" spans="1:12" x14ac:dyDescent="0.3">
      <c r="A412" t="s">
        <v>416</v>
      </c>
      <c r="B412" t="s">
        <v>1014</v>
      </c>
      <c r="C412">
        <v>76</v>
      </c>
      <c r="D412" t="s">
        <v>1028</v>
      </c>
      <c r="E412" t="s">
        <v>1115</v>
      </c>
      <c r="F412">
        <v>103</v>
      </c>
      <c r="G412">
        <v>3.4</v>
      </c>
      <c r="H412">
        <f>ROUND(Calls[[#This Row],[Satisfactory Rating]],0)</f>
        <v>3</v>
      </c>
      <c r="I412" t="str" cm="1">
        <f t="array" ref="I412">_xlfn.IFS(Calls[[#This Row],[Duration (Min)]]&lt;=30,"Under 30 mins",Calls[[#This Row],[Duration (Min)]]&lt;=60,"Under 1h",Calls[[#This Row],[Duration (Min)]]&lt;=120,"Under 2",TRUE,"More than 2h")</f>
        <v>Under 2</v>
      </c>
      <c r="J412">
        <f>IF(MONTH(Calls[[#This Row],[Date of Call]])&lt;=3,YEAR(Calls[[#This Row],[Date of Call]]),YEAR(Calls[[#This Row],[Date of Call]])+1)</f>
        <v>2025</v>
      </c>
      <c r="K412" t="str">
        <f>TEXT(Calls[[#This Row],[Date of Call]],"dddd")</f>
        <v>Monday</v>
      </c>
      <c r="L412" t="str">
        <f>TEXT(Calls[[#This Row],[Date of Call]],"mmm")</f>
        <v>Mar</v>
      </c>
    </row>
    <row r="413" spans="1:12" x14ac:dyDescent="0.3">
      <c r="A413" t="s">
        <v>417</v>
      </c>
      <c r="B413" t="s">
        <v>1009</v>
      </c>
      <c r="C413">
        <v>73</v>
      </c>
      <c r="D413" t="s">
        <v>1026</v>
      </c>
      <c r="E413" t="s">
        <v>1115</v>
      </c>
      <c r="F413">
        <v>86</v>
      </c>
      <c r="G413">
        <v>1.4</v>
      </c>
      <c r="H413">
        <f>ROUND(Calls[[#This Row],[Satisfactory Rating]],0)</f>
        <v>1</v>
      </c>
      <c r="I413" t="str" cm="1">
        <f t="array" ref="I413">_xlfn.IFS(Calls[[#This Row],[Duration (Min)]]&lt;=30,"Under 30 mins",Calls[[#This Row],[Duration (Min)]]&lt;=60,"Under 1h",Calls[[#This Row],[Duration (Min)]]&lt;=120,"Under 2",TRUE,"More than 2h")</f>
        <v>Under 2</v>
      </c>
      <c r="J413">
        <f>IF(MONTH(Calls[[#This Row],[Date of Call]])&lt;=3,YEAR(Calls[[#This Row],[Date of Call]]),YEAR(Calls[[#This Row],[Date of Call]])+1)</f>
        <v>2025</v>
      </c>
      <c r="K413" t="str">
        <f>TEXT(Calls[[#This Row],[Date of Call]],"dddd")</f>
        <v>Monday</v>
      </c>
      <c r="L413" t="str">
        <f>TEXT(Calls[[#This Row],[Date of Call]],"mmm")</f>
        <v>Mar</v>
      </c>
    </row>
    <row r="414" spans="1:12" x14ac:dyDescent="0.3">
      <c r="A414" t="s">
        <v>418</v>
      </c>
      <c r="B414" t="s">
        <v>1007</v>
      </c>
      <c r="C414">
        <v>37</v>
      </c>
      <c r="D414" t="s">
        <v>1030</v>
      </c>
      <c r="E414" t="s">
        <v>1115</v>
      </c>
      <c r="F414">
        <v>88</v>
      </c>
      <c r="G414">
        <v>1.7</v>
      </c>
      <c r="H414">
        <f>ROUND(Calls[[#This Row],[Satisfactory Rating]],0)</f>
        <v>2</v>
      </c>
      <c r="I414" t="str" cm="1">
        <f t="array" ref="I414">_xlfn.IFS(Calls[[#This Row],[Duration (Min)]]&lt;=30,"Under 30 mins",Calls[[#This Row],[Duration (Min)]]&lt;=60,"Under 1h",Calls[[#This Row],[Duration (Min)]]&lt;=120,"Under 2",TRUE,"More than 2h")</f>
        <v>Under 1h</v>
      </c>
      <c r="J414">
        <f>IF(MONTH(Calls[[#This Row],[Date of Call]])&lt;=3,YEAR(Calls[[#This Row],[Date of Call]]),YEAR(Calls[[#This Row],[Date of Call]])+1)</f>
        <v>2025</v>
      </c>
      <c r="K414" t="str">
        <f>TEXT(Calls[[#This Row],[Date of Call]],"dddd")</f>
        <v>Monday</v>
      </c>
      <c r="L414" t="str">
        <f>TEXT(Calls[[#This Row],[Date of Call]],"mmm")</f>
        <v>Mar</v>
      </c>
    </row>
    <row r="415" spans="1:12" x14ac:dyDescent="0.3">
      <c r="A415" t="s">
        <v>419</v>
      </c>
      <c r="B415" t="s">
        <v>1020</v>
      </c>
      <c r="C415">
        <v>78</v>
      </c>
      <c r="D415" t="s">
        <v>1030</v>
      </c>
      <c r="E415" t="s">
        <v>1115</v>
      </c>
      <c r="F415">
        <v>85</v>
      </c>
      <c r="G415">
        <v>2.2999999999999998</v>
      </c>
      <c r="H415">
        <f>ROUND(Calls[[#This Row],[Satisfactory Rating]],0)</f>
        <v>2</v>
      </c>
      <c r="I415" t="str" cm="1">
        <f t="array" ref="I415">_xlfn.IFS(Calls[[#This Row],[Duration (Min)]]&lt;=30,"Under 30 mins",Calls[[#This Row],[Duration (Min)]]&lt;=60,"Under 1h",Calls[[#This Row],[Duration (Min)]]&lt;=120,"Under 2",TRUE,"More than 2h")</f>
        <v>Under 2</v>
      </c>
      <c r="J415">
        <f>IF(MONTH(Calls[[#This Row],[Date of Call]])&lt;=3,YEAR(Calls[[#This Row],[Date of Call]]),YEAR(Calls[[#This Row],[Date of Call]])+1)</f>
        <v>2025</v>
      </c>
      <c r="K415" t="str">
        <f>TEXT(Calls[[#This Row],[Date of Call]],"dddd")</f>
        <v>Monday</v>
      </c>
      <c r="L415" t="str">
        <f>TEXT(Calls[[#This Row],[Date of Call]],"mmm")</f>
        <v>Mar</v>
      </c>
    </row>
    <row r="416" spans="1:12" x14ac:dyDescent="0.3">
      <c r="A416" t="s">
        <v>420</v>
      </c>
      <c r="B416" t="s">
        <v>1007</v>
      </c>
      <c r="C416">
        <v>139</v>
      </c>
      <c r="D416" t="s">
        <v>1030</v>
      </c>
      <c r="E416" t="s">
        <v>1115</v>
      </c>
      <c r="F416">
        <v>113</v>
      </c>
      <c r="G416">
        <v>3.5</v>
      </c>
      <c r="H416">
        <f>ROUND(Calls[[#This Row],[Satisfactory Rating]],0)</f>
        <v>4</v>
      </c>
      <c r="I416" t="str" cm="1">
        <f t="array" ref="I416">_xlfn.IFS(Calls[[#This Row],[Duration (Min)]]&lt;=30,"Under 30 mins",Calls[[#This Row],[Duration (Min)]]&lt;=60,"Under 1h",Calls[[#This Row],[Duration (Min)]]&lt;=120,"Under 2",TRUE,"More than 2h")</f>
        <v>More than 2h</v>
      </c>
      <c r="J416">
        <f>IF(MONTH(Calls[[#This Row],[Date of Call]])&lt;=3,YEAR(Calls[[#This Row],[Date of Call]]),YEAR(Calls[[#This Row],[Date of Call]])+1)</f>
        <v>2025</v>
      </c>
      <c r="K416" t="str">
        <f>TEXT(Calls[[#This Row],[Date of Call]],"dddd")</f>
        <v>Monday</v>
      </c>
      <c r="L416" t="str">
        <f>TEXT(Calls[[#This Row],[Date of Call]],"mmm")</f>
        <v>Mar</v>
      </c>
    </row>
    <row r="417" spans="1:12" x14ac:dyDescent="0.3">
      <c r="A417" t="s">
        <v>421</v>
      </c>
      <c r="B417" t="s">
        <v>1019</v>
      </c>
      <c r="C417">
        <v>59</v>
      </c>
      <c r="D417" t="s">
        <v>1032</v>
      </c>
      <c r="E417" t="s">
        <v>1116</v>
      </c>
      <c r="F417">
        <v>79</v>
      </c>
      <c r="G417">
        <v>4.4000000000000004</v>
      </c>
      <c r="H417">
        <f>ROUND(Calls[[#This Row],[Satisfactory Rating]],0)</f>
        <v>4</v>
      </c>
      <c r="I417" t="str" cm="1">
        <f t="array" ref="I417">_xlfn.IFS(Calls[[#This Row],[Duration (Min)]]&lt;=30,"Under 30 mins",Calls[[#This Row],[Duration (Min)]]&lt;=60,"Under 1h",Calls[[#This Row],[Duration (Min)]]&lt;=120,"Under 2",TRUE,"More than 2h")</f>
        <v>Under 1h</v>
      </c>
      <c r="J417">
        <f>IF(MONTH(Calls[[#This Row],[Date of Call]])&lt;=3,YEAR(Calls[[#This Row],[Date of Call]]),YEAR(Calls[[#This Row],[Date of Call]])+1)</f>
        <v>2025</v>
      </c>
      <c r="K417" t="str">
        <f>TEXT(Calls[[#This Row],[Date of Call]],"dddd")</f>
        <v>Tuesday</v>
      </c>
      <c r="L417" t="str">
        <f>TEXT(Calls[[#This Row],[Date of Call]],"mmm")</f>
        <v>Mar</v>
      </c>
    </row>
    <row r="418" spans="1:12" x14ac:dyDescent="0.3">
      <c r="A418" t="s">
        <v>422</v>
      </c>
      <c r="B418" t="s">
        <v>1016</v>
      </c>
      <c r="C418">
        <v>151</v>
      </c>
      <c r="D418" t="s">
        <v>1028</v>
      </c>
      <c r="E418" t="s">
        <v>1116</v>
      </c>
      <c r="F418">
        <v>68</v>
      </c>
      <c r="G418">
        <v>4.3</v>
      </c>
      <c r="H418">
        <f>ROUND(Calls[[#This Row],[Satisfactory Rating]],0)</f>
        <v>4</v>
      </c>
      <c r="I418" t="str" cm="1">
        <f t="array" ref="I418">_xlfn.IFS(Calls[[#This Row],[Duration (Min)]]&lt;=30,"Under 30 mins",Calls[[#This Row],[Duration (Min)]]&lt;=60,"Under 1h",Calls[[#This Row],[Duration (Min)]]&lt;=120,"Under 2",TRUE,"More than 2h")</f>
        <v>More than 2h</v>
      </c>
      <c r="J418">
        <f>IF(MONTH(Calls[[#This Row],[Date of Call]])&lt;=3,YEAR(Calls[[#This Row],[Date of Call]]),YEAR(Calls[[#This Row],[Date of Call]])+1)</f>
        <v>2025</v>
      </c>
      <c r="K418" t="str">
        <f>TEXT(Calls[[#This Row],[Date of Call]],"dddd")</f>
        <v>Tuesday</v>
      </c>
      <c r="L418" t="str">
        <f>TEXT(Calls[[#This Row],[Date of Call]],"mmm")</f>
        <v>Mar</v>
      </c>
    </row>
    <row r="419" spans="1:12" x14ac:dyDescent="0.3">
      <c r="A419" t="s">
        <v>423</v>
      </c>
      <c r="B419" t="s">
        <v>1008</v>
      </c>
      <c r="C419">
        <v>45</v>
      </c>
      <c r="D419" t="s">
        <v>1028</v>
      </c>
      <c r="E419" t="s">
        <v>1116</v>
      </c>
      <c r="F419">
        <v>135</v>
      </c>
      <c r="G419">
        <v>1.9</v>
      </c>
      <c r="H419">
        <f>ROUND(Calls[[#This Row],[Satisfactory Rating]],0)</f>
        <v>2</v>
      </c>
      <c r="I419" t="str" cm="1">
        <f t="array" ref="I419">_xlfn.IFS(Calls[[#This Row],[Duration (Min)]]&lt;=30,"Under 30 mins",Calls[[#This Row],[Duration (Min)]]&lt;=60,"Under 1h",Calls[[#This Row],[Duration (Min)]]&lt;=120,"Under 2",TRUE,"More than 2h")</f>
        <v>Under 1h</v>
      </c>
      <c r="J419">
        <f>IF(MONTH(Calls[[#This Row],[Date of Call]])&lt;=3,YEAR(Calls[[#This Row],[Date of Call]]),YEAR(Calls[[#This Row],[Date of Call]])+1)</f>
        <v>2025</v>
      </c>
      <c r="K419" t="str">
        <f>TEXT(Calls[[#This Row],[Date of Call]],"dddd")</f>
        <v>Tuesday</v>
      </c>
      <c r="L419" t="str">
        <f>TEXT(Calls[[#This Row],[Date of Call]],"mmm")</f>
        <v>Mar</v>
      </c>
    </row>
    <row r="420" spans="1:12" x14ac:dyDescent="0.3">
      <c r="A420" t="s">
        <v>424</v>
      </c>
      <c r="B420" t="s">
        <v>1013</v>
      </c>
      <c r="C420">
        <v>151</v>
      </c>
      <c r="D420" t="s">
        <v>1031</v>
      </c>
      <c r="E420" t="s">
        <v>1116</v>
      </c>
      <c r="F420">
        <v>43</v>
      </c>
      <c r="G420">
        <v>3.9</v>
      </c>
      <c r="H420">
        <f>ROUND(Calls[[#This Row],[Satisfactory Rating]],0)</f>
        <v>4</v>
      </c>
      <c r="I420" t="str" cm="1">
        <f t="array" ref="I420">_xlfn.IFS(Calls[[#This Row],[Duration (Min)]]&lt;=30,"Under 30 mins",Calls[[#This Row],[Duration (Min)]]&lt;=60,"Under 1h",Calls[[#This Row],[Duration (Min)]]&lt;=120,"Under 2",TRUE,"More than 2h")</f>
        <v>More than 2h</v>
      </c>
      <c r="J420">
        <f>IF(MONTH(Calls[[#This Row],[Date of Call]])&lt;=3,YEAR(Calls[[#This Row],[Date of Call]]),YEAR(Calls[[#This Row],[Date of Call]])+1)</f>
        <v>2025</v>
      </c>
      <c r="K420" t="str">
        <f>TEXT(Calls[[#This Row],[Date of Call]],"dddd")</f>
        <v>Tuesday</v>
      </c>
      <c r="L420" t="str">
        <f>TEXT(Calls[[#This Row],[Date of Call]],"mmm")</f>
        <v>Mar</v>
      </c>
    </row>
    <row r="421" spans="1:12" x14ac:dyDescent="0.3">
      <c r="A421" t="s">
        <v>425</v>
      </c>
      <c r="B421" t="s">
        <v>1013</v>
      </c>
      <c r="C421">
        <v>107</v>
      </c>
      <c r="D421" t="s">
        <v>1031</v>
      </c>
      <c r="E421" t="s">
        <v>1116</v>
      </c>
      <c r="F421">
        <v>58</v>
      </c>
      <c r="G421">
        <v>3.6</v>
      </c>
      <c r="H421">
        <f>ROUND(Calls[[#This Row],[Satisfactory Rating]],0)</f>
        <v>4</v>
      </c>
      <c r="I421" t="str" cm="1">
        <f t="array" ref="I421">_xlfn.IFS(Calls[[#This Row],[Duration (Min)]]&lt;=30,"Under 30 mins",Calls[[#This Row],[Duration (Min)]]&lt;=60,"Under 1h",Calls[[#This Row],[Duration (Min)]]&lt;=120,"Under 2",TRUE,"More than 2h")</f>
        <v>Under 2</v>
      </c>
      <c r="J421">
        <f>IF(MONTH(Calls[[#This Row],[Date of Call]])&lt;=3,YEAR(Calls[[#This Row],[Date of Call]]),YEAR(Calls[[#This Row],[Date of Call]])+1)</f>
        <v>2025</v>
      </c>
      <c r="K421" t="str">
        <f>TEXT(Calls[[#This Row],[Date of Call]],"dddd")</f>
        <v>Tuesday</v>
      </c>
      <c r="L421" t="str">
        <f>TEXT(Calls[[#This Row],[Date of Call]],"mmm")</f>
        <v>Mar</v>
      </c>
    </row>
    <row r="422" spans="1:12" x14ac:dyDescent="0.3">
      <c r="A422" t="s">
        <v>426</v>
      </c>
      <c r="B422" t="s">
        <v>1017</v>
      </c>
      <c r="C422">
        <v>86</v>
      </c>
      <c r="D422" t="s">
        <v>1031</v>
      </c>
      <c r="E422" t="s">
        <v>1117</v>
      </c>
      <c r="F422">
        <v>137</v>
      </c>
      <c r="G422">
        <v>2.8</v>
      </c>
      <c r="H422">
        <f>ROUND(Calls[[#This Row],[Satisfactory Rating]],0)</f>
        <v>3</v>
      </c>
      <c r="I422" t="str" cm="1">
        <f t="array" ref="I422">_xlfn.IFS(Calls[[#This Row],[Duration (Min)]]&lt;=30,"Under 30 mins",Calls[[#This Row],[Duration (Min)]]&lt;=60,"Under 1h",Calls[[#This Row],[Duration (Min)]]&lt;=120,"Under 2",TRUE,"More than 2h")</f>
        <v>Under 2</v>
      </c>
      <c r="J422">
        <f>IF(MONTH(Calls[[#This Row],[Date of Call]])&lt;=3,YEAR(Calls[[#This Row],[Date of Call]]),YEAR(Calls[[#This Row],[Date of Call]])+1)</f>
        <v>2025</v>
      </c>
      <c r="K422" t="str">
        <f>TEXT(Calls[[#This Row],[Date of Call]],"dddd")</f>
        <v>Wednesday</v>
      </c>
      <c r="L422" t="str">
        <f>TEXT(Calls[[#This Row],[Date of Call]],"mmm")</f>
        <v>Mar</v>
      </c>
    </row>
    <row r="423" spans="1:12" x14ac:dyDescent="0.3">
      <c r="A423" t="s">
        <v>427</v>
      </c>
      <c r="B423" t="s">
        <v>1021</v>
      </c>
      <c r="C423">
        <v>35</v>
      </c>
      <c r="D423" t="s">
        <v>1027</v>
      </c>
      <c r="E423" t="s">
        <v>1117</v>
      </c>
      <c r="F423">
        <v>84</v>
      </c>
      <c r="G423">
        <v>2.9</v>
      </c>
      <c r="H423">
        <f>ROUND(Calls[[#This Row],[Satisfactory Rating]],0)</f>
        <v>3</v>
      </c>
      <c r="I423" t="str" cm="1">
        <f t="array" ref="I423">_xlfn.IFS(Calls[[#This Row],[Duration (Min)]]&lt;=30,"Under 30 mins",Calls[[#This Row],[Duration (Min)]]&lt;=60,"Under 1h",Calls[[#This Row],[Duration (Min)]]&lt;=120,"Under 2",TRUE,"More than 2h")</f>
        <v>Under 1h</v>
      </c>
      <c r="J423">
        <f>IF(MONTH(Calls[[#This Row],[Date of Call]])&lt;=3,YEAR(Calls[[#This Row],[Date of Call]]),YEAR(Calls[[#This Row],[Date of Call]])+1)</f>
        <v>2025</v>
      </c>
      <c r="K423" t="str">
        <f>TEXT(Calls[[#This Row],[Date of Call]],"dddd")</f>
        <v>Wednesday</v>
      </c>
      <c r="L423" t="str">
        <f>TEXT(Calls[[#This Row],[Date of Call]],"mmm")</f>
        <v>Mar</v>
      </c>
    </row>
    <row r="424" spans="1:12" x14ac:dyDescent="0.3">
      <c r="A424" t="s">
        <v>428</v>
      </c>
      <c r="B424" t="s">
        <v>1013</v>
      </c>
      <c r="C424">
        <v>129</v>
      </c>
      <c r="D424" t="s">
        <v>1030</v>
      </c>
      <c r="E424" t="s">
        <v>1117</v>
      </c>
      <c r="F424">
        <v>78</v>
      </c>
      <c r="G424">
        <v>2.8</v>
      </c>
      <c r="H424">
        <f>ROUND(Calls[[#This Row],[Satisfactory Rating]],0)</f>
        <v>3</v>
      </c>
      <c r="I424" t="str" cm="1">
        <f t="array" ref="I424">_xlfn.IFS(Calls[[#This Row],[Duration (Min)]]&lt;=30,"Under 30 mins",Calls[[#This Row],[Duration (Min)]]&lt;=60,"Under 1h",Calls[[#This Row],[Duration (Min)]]&lt;=120,"Under 2",TRUE,"More than 2h")</f>
        <v>More than 2h</v>
      </c>
      <c r="J424">
        <f>IF(MONTH(Calls[[#This Row],[Date of Call]])&lt;=3,YEAR(Calls[[#This Row],[Date of Call]]),YEAR(Calls[[#This Row],[Date of Call]])+1)</f>
        <v>2025</v>
      </c>
      <c r="K424" t="str">
        <f>TEXT(Calls[[#This Row],[Date of Call]],"dddd")</f>
        <v>Wednesday</v>
      </c>
      <c r="L424" t="str">
        <f>TEXT(Calls[[#This Row],[Date of Call]],"mmm")</f>
        <v>Mar</v>
      </c>
    </row>
    <row r="425" spans="1:12" x14ac:dyDescent="0.3">
      <c r="A425" t="s">
        <v>429</v>
      </c>
      <c r="B425" t="s">
        <v>1007</v>
      </c>
      <c r="C425">
        <v>27</v>
      </c>
      <c r="D425" t="s">
        <v>1032</v>
      </c>
      <c r="E425" t="s">
        <v>1117</v>
      </c>
      <c r="F425">
        <v>138</v>
      </c>
      <c r="G425">
        <v>2.2999999999999998</v>
      </c>
      <c r="H425">
        <f>ROUND(Calls[[#This Row],[Satisfactory Rating]],0)</f>
        <v>2</v>
      </c>
      <c r="I425" t="str" cm="1">
        <f t="array" ref="I425">_xlfn.IFS(Calls[[#This Row],[Duration (Min)]]&lt;=30,"Under 30 mins",Calls[[#This Row],[Duration (Min)]]&lt;=60,"Under 1h",Calls[[#This Row],[Duration (Min)]]&lt;=120,"Under 2",TRUE,"More than 2h")</f>
        <v>Under 30 mins</v>
      </c>
      <c r="J425">
        <f>IF(MONTH(Calls[[#This Row],[Date of Call]])&lt;=3,YEAR(Calls[[#This Row],[Date of Call]]),YEAR(Calls[[#This Row],[Date of Call]])+1)</f>
        <v>2025</v>
      </c>
      <c r="K425" t="str">
        <f>TEXT(Calls[[#This Row],[Date of Call]],"dddd")</f>
        <v>Wednesday</v>
      </c>
      <c r="L425" t="str">
        <f>TEXT(Calls[[#This Row],[Date of Call]],"mmm")</f>
        <v>Mar</v>
      </c>
    </row>
    <row r="426" spans="1:12" x14ac:dyDescent="0.3">
      <c r="A426" t="s">
        <v>430</v>
      </c>
      <c r="B426" t="s">
        <v>1013</v>
      </c>
      <c r="C426">
        <v>86</v>
      </c>
      <c r="D426" t="s">
        <v>1032</v>
      </c>
      <c r="E426" t="s">
        <v>1117</v>
      </c>
      <c r="F426">
        <v>58</v>
      </c>
      <c r="G426">
        <v>1</v>
      </c>
      <c r="H426">
        <f>ROUND(Calls[[#This Row],[Satisfactory Rating]],0)</f>
        <v>1</v>
      </c>
      <c r="I426" t="str" cm="1">
        <f t="array" ref="I426">_xlfn.IFS(Calls[[#This Row],[Duration (Min)]]&lt;=30,"Under 30 mins",Calls[[#This Row],[Duration (Min)]]&lt;=60,"Under 1h",Calls[[#This Row],[Duration (Min)]]&lt;=120,"Under 2",TRUE,"More than 2h")</f>
        <v>Under 2</v>
      </c>
      <c r="J426">
        <f>IF(MONTH(Calls[[#This Row],[Date of Call]])&lt;=3,YEAR(Calls[[#This Row],[Date of Call]]),YEAR(Calls[[#This Row],[Date of Call]])+1)</f>
        <v>2025</v>
      </c>
      <c r="K426" t="str">
        <f>TEXT(Calls[[#This Row],[Date of Call]],"dddd")</f>
        <v>Wednesday</v>
      </c>
      <c r="L426" t="str">
        <f>TEXT(Calls[[#This Row],[Date of Call]],"mmm")</f>
        <v>Mar</v>
      </c>
    </row>
    <row r="427" spans="1:12" x14ac:dyDescent="0.3">
      <c r="A427" t="s">
        <v>431</v>
      </c>
      <c r="B427" t="s">
        <v>1021</v>
      </c>
      <c r="C427">
        <v>46</v>
      </c>
      <c r="D427" t="s">
        <v>1028</v>
      </c>
      <c r="E427" t="s">
        <v>1118</v>
      </c>
      <c r="F427">
        <v>25</v>
      </c>
      <c r="G427">
        <v>3</v>
      </c>
      <c r="H427">
        <f>ROUND(Calls[[#This Row],[Satisfactory Rating]],0)</f>
        <v>3</v>
      </c>
      <c r="I427" t="str" cm="1">
        <f t="array" ref="I427">_xlfn.IFS(Calls[[#This Row],[Duration (Min)]]&lt;=30,"Under 30 mins",Calls[[#This Row],[Duration (Min)]]&lt;=60,"Under 1h",Calls[[#This Row],[Duration (Min)]]&lt;=120,"Under 2",TRUE,"More than 2h")</f>
        <v>Under 1h</v>
      </c>
      <c r="J427">
        <f>IF(MONTH(Calls[[#This Row],[Date of Call]])&lt;=3,YEAR(Calls[[#This Row],[Date of Call]]),YEAR(Calls[[#This Row],[Date of Call]])+1)</f>
        <v>2025</v>
      </c>
      <c r="K427" t="str">
        <f>TEXT(Calls[[#This Row],[Date of Call]],"dddd")</f>
        <v>Thursday</v>
      </c>
      <c r="L427" t="str">
        <f>TEXT(Calls[[#This Row],[Date of Call]],"mmm")</f>
        <v>Mar</v>
      </c>
    </row>
    <row r="428" spans="1:12" x14ac:dyDescent="0.3">
      <c r="A428" t="s">
        <v>432</v>
      </c>
      <c r="B428" t="s">
        <v>1007</v>
      </c>
      <c r="C428">
        <v>67</v>
      </c>
      <c r="D428" t="s">
        <v>1027</v>
      </c>
      <c r="E428" t="s">
        <v>1118</v>
      </c>
      <c r="F428">
        <v>142</v>
      </c>
      <c r="G428">
        <v>4</v>
      </c>
      <c r="H428">
        <f>ROUND(Calls[[#This Row],[Satisfactory Rating]],0)</f>
        <v>4</v>
      </c>
      <c r="I428" t="str" cm="1">
        <f t="array" ref="I428">_xlfn.IFS(Calls[[#This Row],[Duration (Min)]]&lt;=30,"Under 30 mins",Calls[[#This Row],[Duration (Min)]]&lt;=60,"Under 1h",Calls[[#This Row],[Duration (Min)]]&lt;=120,"Under 2",TRUE,"More than 2h")</f>
        <v>Under 2</v>
      </c>
      <c r="J428">
        <f>IF(MONTH(Calls[[#This Row],[Date of Call]])&lt;=3,YEAR(Calls[[#This Row],[Date of Call]]),YEAR(Calls[[#This Row],[Date of Call]])+1)</f>
        <v>2025</v>
      </c>
      <c r="K428" t="str">
        <f>TEXT(Calls[[#This Row],[Date of Call]],"dddd")</f>
        <v>Thursday</v>
      </c>
      <c r="L428" t="str">
        <f>TEXT(Calls[[#This Row],[Date of Call]],"mmm")</f>
        <v>Mar</v>
      </c>
    </row>
    <row r="429" spans="1:12" x14ac:dyDescent="0.3">
      <c r="A429" t="s">
        <v>433</v>
      </c>
      <c r="B429" t="s">
        <v>1007</v>
      </c>
      <c r="C429">
        <v>85</v>
      </c>
      <c r="D429" t="s">
        <v>1030</v>
      </c>
      <c r="E429" t="s">
        <v>1118</v>
      </c>
      <c r="F429">
        <v>20</v>
      </c>
      <c r="G429">
        <v>1.3</v>
      </c>
      <c r="H429">
        <f>ROUND(Calls[[#This Row],[Satisfactory Rating]],0)</f>
        <v>1</v>
      </c>
      <c r="I429" t="str" cm="1">
        <f t="array" ref="I429">_xlfn.IFS(Calls[[#This Row],[Duration (Min)]]&lt;=30,"Under 30 mins",Calls[[#This Row],[Duration (Min)]]&lt;=60,"Under 1h",Calls[[#This Row],[Duration (Min)]]&lt;=120,"Under 2",TRUE,"More than 2h")</f>
        <v>Under 2</v>
      </c>
      <c r="J429">
        <f>IF(MONTH(Calls[[#This Row],[Date of Call]])&lt;=3,YEAR(Calls[[#This Row],[Date of Call]]),YEAR(Calls[[#This Row],[Date of Call]])+1)</f>
        <v>2025</v>
      </c>
      <c r="K429" t="str">
        <f>TEXT(Calls[[#This Row],[Date of Call]],"dddd")</f>
        <v>Thursday</v>
      </c>
      <c r="L429" t="str">
        <f>TEXT(Calls[[#This Row],[Date of Call]],"mmm")</f>
        <v>Mar</v>
      </c>
    </row>
    <row r="430" spans="1:12" x14ac:dyDescent="0.3">
      <c r="A430" t="s">
        <v>434</v>
      </c>
      <c r="B430" t="s">
        <v>1012</v>
      </c>
      <c r="C430">
        <v>84</v>
      </c>
      <c r="D430" t="s">
        <v>1027</v>
      </c>
      <c r="E430" t="s">
        <v>1118</v>
      </c>
      <c r="F430">
        <v>38</v>
      </c>
      <c r="G430">
        <v>4</v>
      </c>
      <c r="H430">
        <f>ROUND(Calls[[#This Row],[Satisfactory Rating]],0)</f>
        <v>4</v>
      </c>
      <c r="I430" t="str" cm="1">
        <f t="array" ref="I430">_xlfn.IFS(Calls[[#This Row],[Duration (Min)]]&lt;=30,"Under 30 mins",Calls[[#This Row],[Duration (Min)]]&lt;=60,"Under 1h",Calls[[#This Row],[Duration (Min)]]&lt;=120,"Under 2",TRUE,"More than 2h")</f>
        <v>Under 2</v>
      </c>
      <c r="J430">
        <f>IF(MONTH(Calls[[#This Row],[Date of Call]])&lt;=3,YEAR(Calls[[#This Row],[Date of Call]]),YEAR(Calls[[#This Row],[Date of Call]])+1)</f>
        <v>2025</v>
      </c>
      <c r="K430" t="str">
        <f>TEXT(Calls[[#This Row],[Date of Call]],"dddd")</f>
        <v>Thursday</v>
      </c>
      <c r="L430" t="str">
        <f>TEXT(Calls[[#This Row],[Date of Call]],"mmm")</f>
        <v>Mar</v>
      </c>
    </row>
    <row r="431" spans="1:12" x14ac:dyDescent="0.3">
      <c r="A431" t="s">
        <v>435</v>
      </c>
      <c r="B431" t="s">
        <v>1013</v>
      </c>
      <c r="C431">
        <v>75</v>
      </c>
      <c r="D431" t="s">
        <v>1031</v>
      </c>
      <c r="E431" t="s">
        <v>1118</v>
      </c>
      <c r="F431">
        <v>141</v>
      </c>
      <c r="G431">
        <v>2.8</v>
      </c>
      <c r="H431">
        <f>ROUND(Calls[[#This Row],[Satisfactory Rating]],0)</f>
        <v>3</v>
      </c>
      <c r="I431" t="str" cm="1">
        <f t="array" ref="I431">_xlfn.IFS(Calls[[#This Row],[Duration (Min)]]&lt;=30,"Under 30 mins",Calls[[#This Row],[Duration (Min)]]&lt;=60,"Under 1h",Calls[[#This Row],[Duration (Min)]]&lt;=120,"Under 2",TRUE,"More than 2h")</f>
        <v>Under 2</v>
      </c>
      <c r="J431">
        <f>IF(MONTH(Calls[[#This Row],[Date of Call]])&lt;=3,YEAR(Calls[[#This Row],[Date of Call]]),YEAR(Calls[[#This Row],[Date of Call]])+1)</f>
        <v>2025</v>
      </c>
      <c r="K431" t="str">
        <f>TEXT(Calls[[#This Row],[Date of Call]],"dddd")</f>
        <v>Thursday</v>
      </c>
      <c r="L431" t="str">
        <f>TEXT(Calls[[#This Row],[Date of Call]],"mmm")</f>
        <v>Mar</v>
      </c>
    </row>
    <row r="432" spans="1:12" x14ac:dyDescent="0.3">
      <c r="A432" t="s">
        <v>436</v>
      </c>
      <c r="B432" t="s">
        <v>1008</v>
      </c>
      <c r="C432">
        <v>97</v>
      </c>
      <c r="D432" t="s">
        <v>1027</v>
      </c>
      <c r="E432" t="s">
        <v>1119</v>
      </c>
      <c r="F432">
        <v>70</v>
      </c>
      <c r="G432">
        <v>1.7</v>
      </c>
      <c r="H432">
        <f>ROUND(Calls[[#This Row],[Satisfactory Rating]],0)</f>
        <v>2</v>
      </c>
      <c r="I432" t="str" cm="1">
        <f t="array" ref="I432">_xlfn.IFS(Calls[[#This Row],[Duration (Min)]]&lt;=30,"Under 30 mins",Calls[[#This Row],[Duration (Min)]]&lt;=60,"Under 1h",Calls[[#This Row],[Duration (Min)]]&lt;=120,"Under 2",TRUE,"More than 2h")</f>
        <v>Under 2</v>
      </c>
      <c r="J432">
        <f>IF(MONTH(Calls[[#This Row],[Date of Call]])&lt;=3,YEAR(Calls[[#This Row],[Date of Call]]),YEAR(Calls[[#This Row],[Date of Call]])+1)</f>
        <v>2025</v>
      </c>
      <c r="K432" t="str">
        <f>TEXT(Calls[[#This Row],[Date of Call]],"dddd")</f>
        <v>Friday</v>
      </c>
      <c r="L432" t="str">
        <f>TEXT(Calls[[#This Row],[Date of Call]],"mmm")</f>
        <v>Mar</v>
      </c>
    </row>
    <row r="433" spans="1:12" x14ac:dyDescent="0.3">
      <c r="A433" t="s">
        <v>437</v>
      </c>
      <c r="B433" t="s">
        <v>1007</v>
      </c>
      <c r="C433">
        <v>11</v>
      </c>
      <c r="D433" t="s">
        <v>1029</v>
      </c>
      <c r="E433" t="s">
        <v>1119</v>
      </c>
      <c r="F433">
        <v>94</v>
      </c>
      <c r="G433">
        <v>3.8</v>
      </c>
      <c r="H433">
        <f>ROUND(Calls[[#This Row],[Satisfactory Rating]],0)</f>
        <v>4</v>
      </c>
      <c r="I433" t="str" cm="1">
        <f t="array" ref="I433">_xlfn.IFS(Calls[[#This Row],[Duration (Min)]]&lt;=30,"Under 30 mins",Calls[[#This Row],[Duration (Min)]]&lt;=60,"Under 1h",Calls[[#This Row],[Duration (Min)]]&lt;=120,"Under 2",TRUE,"More than 2h")</f>
        <v>Under 30 mins</v>
      </c>
      <c r="J433">
        <f>IF(MONTH(Calls[[#This Row],[Date of Call]])&lt;=3,YEAR(Calls[[#This Row],[Date of Call]]),YEAR(Calls[[#This Row],[Date of Call]])+1)</f>
        <v>2025</v>
      </c>
      <c r="K433" t="str">
        <f>TEXT(Calls[[#This Row],[Date of Call]],"dddd")</f>
        <v>Friday</v>
      </c>
      <c r="L433" t="str">
        <f>TEXT(Calls[[#This Row],[Date of Call]],"mmm")</f>
        <v>Mar</v>
      </c>
    </row>
    <row r="434" spans="1:12" x14ac:dyDescent="0.3">
      <c r="A434" t="s">
        <v>438</v>
      </c>
      <c r="B434" t="s">
        <v>1007</v>
      </c>
      <c r="C434">
        <v>63</v>
      </c>
      <c r="D434" t="s">
        <v>1027</v>
      </c>
      <c r="E434" t="s">
        <v>1119</v>
      </c>
      <c r="F434">
        <v>100</v>
      </c>
      <c r="G434">
        <v>2.4</v>
      </c>
      <c r="H434">
        <f>ROUND(Calls[[#This Row],[Satisfactory Rating]],0)</f>
        <v>2</v>
      </c>
      <c r="I434" t="str" cm="1">
        <f t="array" ref="I434">_xlfn.IFS(Calls[[#This Row],[Duration (Min)]]&lt;=30,"Under 30 mins",Calls[[#This Row],[Duration (Min)]]&lt;=60,"Under 1h",Calls[[#This Row],[Duration (Min)]]&lt;=120,"Under 2",TRUE,"More than 2h")</f>
        <v>Under 2</v>
      </c>
      <c r="J434">
        <f>IF(MONTH(Calls[[#This Row],[Date of Call]])&lt;=3,YEAR(Calls[[#This Row],[Date of Call]]),YEAR(Calls[[#This Row],[Date of Call]])+1)</f>
        <v>2025</v>
      </c>
      <c r="K434" t="str">
        <f>TEXT(Calls[[#This Row],[Date of Call]],"dddd")</f>
        <v>Friday</v>
      </c>
      <c r="L434" t="str">
        <f>TEXT(Calls[[#This Row],[Date of Call]],"mmm")</f>
        <v>Mar</v>
      </c>
    </row>
    <row r="435" spans="1:12" x14ac:dyDescent="0.3">
      <c r="A435" t="s">
        <v>439</v>
      </c>
      <c r="B435" t="s">
        <v>1012</v>
      </c>
      <c r="C435">
        <v>41</v>
      </c>
      <c r="D435" t="s">
        <v>1029</v>
      </c>
      <c r="E435" t="s">
        <v>1119</v>
      </c>
      <c r="F435">
        <v>100</v>
      </c>
      <c r="G435">
        <v>3.1</v>
      </c>
      <c r="H435">
        <f>ROUND(Calls[[#This Row],[Satisfactory Rating]],0)</f>
        <v>3</v>
      </c>
      <c r="I435" t="str" cm="1">
        <f t="array" ref="I435">_xlfn.IFS(Calls[[#This Row],[Duration (Min)]]&lt;=30,"Under 30 mins",Calls[[#This Row],[Duration (Min)]]&lt;=60,"Under 1h",Calls[[#This Row],[Duration (Min)]]&lt;=120,"Under 2",TRUE,"More than 2h")</f>
        <v>Under 1h</v>
      </c>
      <c r="J435">
        <f>IF(MONTH(Calls[[#This Row],[Date of Call]])&lt;=3,YEAR(Calls[[#This Row],[Date of Call]]),YEAR(Calls[[#This Row],[Date of Call]])+1)</f>
        <v>2025</v>
      </c>
      <c r="K435" t="str">
        <f>TEXT(Calls[[#This Row],[Date of Call]],"dddd")</f>
        <v>Friday</v>
      </c>
      <c r="L435" t="str">
        <f>TEXT(Calls[[#This Row],[Date of Call]],"mmm")</f>
        <v>Mar</v>
      </c>
    </row>
    <row r="436" spans="1:12" x14ac:dyDescent="0.3">
      <c r="A436" t="s">
        <v>440</v>
      </c>
      <c r="B436" t="s">
        <v>1009</v>
      </c>
      <c r="C436">
        <v>120</v>
      </c>
      <c r="D436" t="s">
        <v>1028</v>
      </c>
      <c r="E436" t="s">
        <v>1119</v>
      </c>
      <c r="F436">
        <v>60</v>
      </c>
      <c r="G436">
        <v>4.3</v>
      </c>
      <c r="H436">
        <f>ROUND(Calls[[#This Row],[Satisfactory Rating]],0)</f>
        <v>4</v>
      </c>
      <c r="I436" t="str" cm="1">
        <f t="array" ref="I436">_xlfn.IFS(Calls[[#This Row],[Duration (Min)]]&lt;=30,"Under 30 mins",Calls[[#This Row],[Duration (Min)]]&lt;=60,"Under 1h",Calls[[#This Row],[Duration (Min)]]&lt;=120,"Under 2",TRUE,"More than 2h")</f>
        <v>Under 2</v>
      </c>
      <c r="J436">
        <f>IF(MONTH(Calls[[#This Row],[Date of Call]])&lt;=3,YEAR(Calls[[#This Row],[Date of Call]]),YEAR(Calls[[#This Row],[Date of Call]])+1)</f>
        <v>2025</v>
      </c>
      <c r="K436" t="str">
        <f>TEXT(Calls[[#This Row],[Date of Call]],"dddd")</f>
        <v>Friday</v>
      </c>
      <c r="L436" t="str">
        <f>TEXT(Calls[[#This Row],[Date of Call]],"mmm")</f>
        <v>Mar</v>
      </c>
    </row>
    <row r="437" spans="1:12" x14ac:dyDescent="0.3">
      <c r="A437" t="s">
        <v>441</v>
      </c>
      <c r="B437" t="s">
        <v>1009</v>
      </c>
      <c r="C437">
        <v>75</v>
      </c>
      <c r="D437" t="s">
        <v>1029</v>
      </c>
      <c r="E437" t="s">
        <v>1120</v>
      </c>
      <c r="F437">
        <v>46</v>
      </c>
      <c r="G437">
        <v>3.8</v>
      </c>
      <c r="H437">
        <f>ROUND(Calls[[#This Row],[Satisfactory Rating]],0)</f>
        <v>4</v>
      </c>
      <c r="I437" t="str" cm="1">
        <f t="array" ref="I437">_xlfn.IFS(Calls[[#This Row],[Duration (Min)]]&lt;=30,"Under 30 mins",Calls[[#This Row],[Duration (Min)]]&lt;=60,"Under 1h",Calls[[#This Row],[Duration (Min)]]&lt;=120,"Under 2",TRUE,"More than 2h")</f>
        <v>Under 2</v>
      </c>
      <c r="J437">
        <f>IF(MONTH(Calls[[#This Row],[Date of Call]])&lt;=3,YEAR(Calls[[#This Row],[Date of Call]]),YEAR(Calls[[#This Row],[Date of Call]])+1)</f>
        <v>2025</v>
      </c>
      <c r="K437" t="str">
        <f>TEXT(Calls[[#This Row],[Date of Call]],"dddd")</f>
        <v>Saturday</v>
      </c>
      <c r="L437" t="str">
        <f>TEXT(Calls[[#This Row],[Date of Call]],"mmm")</f>
        <v>Mar</v>
      </c>
    </row>
    <row r="438" spans="1:12" x14ac:dyDescent="0.3">
      <c r="A438" t="s">
        <v>442</v>
      </c>
      <c r="B438" t="s">
        <v>1012</v>
      </c>
      <c r="C438">
        <v>127</v>
      </c>
      <c r="D438" t="s">
        <v>1032</v>
      </c>
      <c r="E438" t="s">
        <v>1120</v>
      </c>
      <c r="F438">
        <v>65</v>
      </c>
      <c r="G438">
        <v>1.6</v>
      </c>
      <c r="H438">
        <f>ROUND(Calls[[#This Row],[Satisfactory Rating]],0)</f>
        <v>2</v>
      </c>
      <c r="I438" t="str" cm="1">
        <f t="array" ref="I438">_xlfn.IFS(Calls[[#This Row],[Duration (Min)]]&lt;=30,"Under 30 mins",Calls[[#This Row],[Duration (Min)]]&lt;=60,"Under 1h",Calls[[#This Row],[Duration (Min)]]&lt;=120,"Under 2",TRUE,"More than 2h")</f>
        <v>More than 2h</v>
      </c>
      <c r="J438">
        <f>IF(MONTH(Calls[[#This Row],[Date of Call]])&lt;=3,YEAR(Calls[[#This Row],[Date of Call]]),YEAR(Calls[[#This Row],[Date of Call]])+1)</f>
        <v>2025</v>
      </c>
      <c r="K438" t="str">
        <f>TEXT(Calls[[#This Row],[Date of Call]],"dddd")</f>
        <v>Saturday</v>
      </c>
      <c r="L438" t="str">
        <f>TEXT(Calls[[#This Row],[Date of Call]],"mmm")</f>
        <v>Mar</v>
      </c>
    </row>
    <row r="439" spans="1:12" x14ac:dyDescent="0.3">
      <c r="A439" t="s">
        <v>443</v>
      </c>
      <c r="B439" t="s">
        <v>1017</v>
      </c>
      <c r="C439">
        <v>136</v>
      </c>
      <c r="D439" t="s">
        <v>1027</v>
      </c>
      <c r="E439" t="s">
        <v>1120</v>
      </c>
      <c r="F439">
        <v>149</v>
      </c>
      <c r="G439">
        <v>3.4</v>
      </c>
      <c r="H439">
        <f>ROUND(Calls[[#This Row],[Satisfactory Rating]],0)</f>
        <v>3</v>
      </c>
      <c r="I439" t="str" cm="1">
        <f t="array" ref="I439">_xlfn.IFS(Calls[[#This Row],[Duration (Min)]]&lt;=30,"Under 30 mins",Calls[[#This Row],[Duration (Min)]]&lt;=60,"Under 1h",Calls[[#This Row],[Duration (Min)]]&lt;=120,"Under 2",TRUE,"More than 2h")</f>
        <v>More than 2h</v>
      </c>
      <c r="J439">
        <f>IF(MONTH(Calls[[#This Row],[Date of Call]])&lt;=3,YEAR(Calls[[#This Row],[Date of Call]]),YEAR(Calls[[#This Row],[Date of Call]])+1)</f>
        <v>2025</v>
      </c>
      <c r="K439" t="str">
        <f>TEXT(Calls[[#This Row],[Date of Call]],"dddd")</f>
        <v>Saturday</v>
      </c>
      <c r="L439" t="str">
        <f>TEXT(Calls[[#This Row],[Date of Call]],"mmm")</f>
        <v>Mar</v>
      </c>
    </row>
    <row r="440" spans="1:12" x14ac:dyDescent="0.3">
      <c r="A440" t="s">
        <v>444</v>
      </c>
      <c r="B440" t="s">
        <v>1006</v>
      </c>
      <c r="C440">
        <v>73</v>
      </c>
      <c r="D440" t="s">
        <v>1030</v>
      </c>
      <c r="E440" t="s">
        <v>1120</v>
      </c>
      <c r="F440">
        <v>133</v>
      </c>
      <c r="G440">
        <v>2.2000000000000002</v>
      </c>
      <c r="H440">
        <f>ROUND(Calls[[#This Row],[Satisfactory Rating]],0)</f>
        <v>2</v>
      </c>
      <c r="I440" t="str" cm="1">
        <f t="array" ref="I440">_xlfn.IFS(Calls[[#This Row],[Duration (Min)]]&lt;=30,"Under 30 mins",Calls[[#This Row],[Duration (Min)]]&lt;=60,"Under 1h",Calls[[#This Row],[Duration (Min)]]&lt;=120,"Under 2",TRUE,"More than 2h")</f>
        <v>Under 2</v>
      </c>
      <c r="J440">
        <f>IF(MONTH(Calls[[#This Row],[Date of Call]])&lt;=3,YEAR(Calls[[#This Row],[Date of Call]]),YEAR(Calls[[#This Row],[Date of Call]])+1)</f>
        <v>2025</v>
      </c>
      <c r="K440" t="str">
        <f>TEXT(Calls[[#This Row],[Date of Call]],"dddd")</f>
        <v>Saturday</v>
      </c>
      <c r="L440" t="str">
        <f>TEXT(Calls[[#This Row],[Date of Call]],"mmm")</f>
        <v>Mar</v>
      </c>
    </row>
    <row r="441" spans="1:12" x14ac:dyDescent="0.3">
      <c r="A441" t="s">
        <v>445</v>
      </c>
      <c r="B441" t="s">
        <v>1021</v>
      </c>
      <c r="C441">
        <v>84</v>
      </c>
      <c r="D441" t="s">
        <v>1028</v>
      </c>
      <c r="E441" t="s">
        <v>1120</v>
      </c>
      <c r="F441">
        <v>95</v>
      </c>
      <c r="G441">
        <v>1.2</v>
      </c>
      <c r="H441">
        <f>ROUND(Calls[[#This Row],[Satisfactory Rating]],0)</f>
        <v>1</v>
      </c>
      <c r="I441" t="str" cm="1">
        <f t="array" ref="I441">_xlfn.IFS(Calls[[#This Row],[Duration (Min)]]&lt;=30,"Under 30 mins",Calls[[#This Row],[Duration (Min)]]&lt;=60,"Under 1h",Calls[[#This Row],[Duration (Min)]]&lt;=120,"Under 2",TRUE,"More than 2h")</f>
        <v>Under 2</v>
      </c>
      <c r="J441">
        <f>IF(MONTH(Calls[[#This Row],[Date of Call]])&lt;=3,YEAR(Calls[[#This Row],[Date of Call]]),YEAR(Calls[[#This Row],[Date of Call]])+1)</f>
        <v>2025</v>
      </c>
      <c r="K441" t="str">
        <f>TEXT(Calls[[#This Row],[Date of Call]],"dddd")</f>
        <v>Saturday</v>
      </c>
      <c r="L441" t="str">
        <f>TEXT(Calls[[#This Row],[Date of Call]],"mmm")</f>
        <v>Mar</v>
      </c>
    </row>
    <row r="442" spans="1:12" x14ac:dyDescent="0.3">
      <c r="A442" t="s">
        <v>446</v>
      </c>
      <c r="B442" t="s">
        <v>1015</v>
      </c>
      <c r="C442">
        <v>40</v>
      </c>
      <c r="D442" t="s">
        <v>1028</v>
      </c>
      <c r="E442" t="s">
        <v>1121</v>
      </c>
      <c r="F442">
        <v>22</v>
      </c>
      <c r="G442">
        <v>2.2000000000000002</v>
      </c>
      <c r="H442">
        <f>ROUND(Calls[[#This Row],[Satisfactory Rating]],0)</f>
        <v>2</v>
      </c>
      <c r="I442" t="str" cm="1">
        <f t="array" ref="I442">_xlfn.IFS(Calls[[#This Row],[Duration (Min)]]&lt;=30,"Under 30 mins",Calls[[#This Row],[Duration (Min)]]&lt;=60,"Under 1h",Calls[[#This Row],[Duration (Min)]]&lt;=120,"Under 2",TRUE,"More than 2h")</f>
        <v>Under 1h</v>
      </c>
      <c r="J442">
        <f>IF(MONTH(Calls[[#This Row],[Date of Call]])&lt;=3,YEAR(Calls[[#This Row],[Date of Call]]),YEAR(Calls[[#This Row],[Date of Call]])+1)</f>
        <v>2025</v>
      </c>
      <c r="K442" t="str">
        <f>TEXT(Calls[[#This Row],[Date of Call]],"dddd")</f>
        <v>Sunday</v>
      </c>
      <c r="L442" t="str">
        <f>TEXT(Calls[[#This Row],[Date of Call]],"mmm")</f>
        <v>Mar</v>
      </c>
    </row>
    <row r="443" spans="1:12" x14ac:dyDescent="0.3">
      <c r="A443" t="s">
        <v>447</v>
      </c>
      <c r="B443" t="s">
        <v>1016</v>
      </c>
      <c r="C443">
        <v>90</v>
      </c>
      <c r="D443" t="s">
        <v>1026</v>
      </c>
      <c r="E443" t="s">
        <v>1121</v>
      </c>
      <c r="F443">
        <v>33</v>
      </c>
      <c r="G443">
        <v>3.3</v>
      </c>
      <c r="H443">
        <f>ROUND(Calls[[#This Row],[Satisfactory Rating]],0)</f>
        <v>3</v>
      </c>
      <c r="I443" t="str" cm="1">
        <f t="array" ref="I443">_xlfn.IFS(Calls[[#This Row],[Duration (Min)]]&lt;=30,"Under 30 mins",Calls[[#This Row],[Duration (Min)]]&lt;=60,"Under 1h",Calls[[#This Row],[Duration (Min)]]&lt;=120,"Under 2",TRUE,"More than 2h")</f>
        <v>Under 2</v>
      </c>
      <c r="J443">
        <f>IF(MONTH(Calls[[#This Row],[Date of Call]])&lt;=3,YEAR(Calls[[#This Row],[Date of Call]]),YEAR(Calls[[#This Row],[Date of Call]])+1)</f>
        <v>2025</v>
      </c>
      <c r="K443" t="str">
        <f>TEXT(Calls[[#This Row],[Date of Call]],"dddd")</f>
        <v>Sunday</v>
      </c>
      <c r="L443" t="str">
        <f>TEXT(Calls[[#This Row],[Date of Call]],"mmm")</f>
        <v>Mar</v>
      </c>
    </row>
    <row r="444" spans="1:12" x14ac:dyDescent="0.3">
      <c r="A444" t="s">
        <v>448</v>
      </c>
      <c r="B444" t="s">
        <v>1006</v>
      </c>
      <c r="C444">
        <v>109</v>
      </c>
      <c r="D444" t="s">
        <v>1029</v>
      </c>
      <c r="E444" t="s">
        <v>1121</v>
      </c>
      <c r="F444">
        <v>82</v>
      </c>
      <c r="G444">
        <v>4.5</v>
      </c>
      <c r="H444">
        <f>ROUND(Calls[[#This Row],[Satisfactory Rating]],0)</f>
        <v>5</v>
      </c>
      <c r="I444" t="str" cm="1">
        <f t="array" ref="I444">_xlfn.IFS(Calls[[#This Row],[Duration (Min)]]&lt;=30,"Under 30 mins",Calls[[#This Row],[Duration (Min)]]&lt;=60,"Under 1h",Calls[[#This Row],[Duration (Min)]]&lt;=120,"Under 2",TRUE,"More than 2h")</f>
        <v>Under 2</v>
      </c>
      <c r="J444">
        <f>IF(MONTH(Calls[[#This Row],[Date of Call]])&lt;=3,YEAR(Calls[[#This Row],[Date of Call]]),YEAR(Calls[[#This Row],[Date of Call]])+1)</f>
        <v>2025</v>
      </c>
      <c r="K444" t="str">
        <f>TEXT(Calls[[#This Row],[Date of Call]],"dddd")</f>
        <v>Sunday</v>
      </c>
      <c r="L444" t="str">
        <f>TEXT(Calls[[#This Row],[Date of Call]],"mmm")</f>
        <v>Mar</v>
      </c>
    </row>
    <row r="445" spans="1:12" x14ac:dyDescent="0.3">
      <c r="A445" t="s">
        <v>449</v>
      </c>
      <c r="B445" t="s">
        <v>1016</v>
      </c>
      <c r="C445">
        <v>120</v>
      </c>
      <c r="D445" t="s">
        <v>1029</v>
      </c>
      <c r="E445" t="s">
        <v>1121</v>
      </c>
      <c r="F445">
        <v>62</v>
      </c>
      <c r="G445">
        <v>3</v>
      </c>
      <c r="H445">
        <f>ROUND(Calls[[#This Row],[Satisfactory Rating]],0)</f>
        <v>3</v>
      </c>
      <c r="I445" t="str" cm="1">
        <f t="array" ref="I445">_xlfn.IFS(Calls[[#This Row],[Duration (Min)]]&lt;=30,"Under 30 mins",Calls[[#This Row],[Duration (Min)]]&lt;=60,"Under 1h",Calls[[#This Row],[Duration (Min)]]&lt;=120,"Under 2",TRUE,"More than 2h")</f>
        <v>Under 2</v>
      </c>
      <c r="J445">
        <f>IF(MONTH(Calls[[#This Row],[Date of Call]])&lt;=3,YEAR(Calls[[#This Row],[Date of Call]]),YEAR(Calls[[#This Row],[Date of Call]])+1)</f>
        <v>2025</v>
      </c>
      <c r="K445" t="str">
        <f>TEXT(Calls[[#This Row],[Date of Call]],"dddd")</f>
        <v>Sunday</v>
      </c>
      <c r="L445" t="str">
        <f>TEXT(Calls[[#This Row],[Date of Call]],"mmm")</f>
        <v>Mar</v>
      </c>
    </row>
    <row r="446" spans="1:12" x14ac:dyDescent="0.3">
      <c r="A446" t="s">
        <v>450</v>
      </c>
      <c r="B446" t="s">
        <v>1019</v>
      </c>
      <c r="C446">
        <v>58</v>
      </c>
      <c r="D446" t="s">
        <v>1030</v>
      </c>
      <c r="E446" t="s">
        <v>1121</v>
      </c>
      <c r="F446">
        <v>54</v>
      </c>
      <c r="G446">
        <v>3.6</v>
      </c>
      <c r="H446">
        <f>ROUND(Calls[[#This Row],[Satisfactory Rating]],0)</f>
        <v>4</v>
      </c>
      <c r="I446" t="str" cm="1">
        <f t="array" ref="I446">_xlfn.IFS(Calls[[#This Row],[Duration (Min)]]&lt;=30,"Under 30 mins",Calls[[#This Row],[Duration (Min)]]&lt;=60,"Under 1h",Calls[[#This Row],[Duration (Min)]]&lt;=120,"Under 2",TRUE,"More than 2h")</f>
        <v>Under 1h</v>
      </c>
      <c r="J446">
        <f>IF(MONTH(Calls[[#This Row],[Date of Call]])&lt;=3,YEAR(Calls[[#This Row],[Date of Call]]),YEAR(Calls[[#This Row],[Date of Call]])+1)</f>
        <v>2025</v>
      </c>
      <c r="K446" t="str">
        <f>TEXT(Calls[[#This Row],[Date of Call]],"dddd")</f>
        <v>Sunday</v>
      </c>
      <c r="L446" t="str">
        <f>TEXT(Calls[[#This Row],[Date of Call]],"mmm")</f>
        <v>Mar</v>
      </c>
    </row>
    <row r="447" spans="1:12" x14ac:dyDescent="0.3">
      <c r="A447" t="s">
        <v>451</v>
      </c>
      <c r="B447" t="s">
        <v>1020</v>
      </c>
      <c r="C447">
        <v>74</v>
      </c>
      <c r="D447" t="s">
        <v>1028</v>
      </c>
      <c r="E447" t="s">
        <v>1122</v>
      </c>
      <c r="F447">
        <v>119</v>
      </c>
      <c r="G447">
        <v>3.3</v>
      </c>
      <c r="H447">
        <f>ROUND(Calls[[#This Row],[Satisfactory Rating]],0)</f>
        <v>3</v>
      </c>
      <c r="I447" t="str" cm="1">
        <f t="array" ref="I447">_xlfn.IFS(Calls[[#This Row],[Duration (Min)]]&lt;=30,"Under 30 mins",Calls[[#This Row],[Duration (Min)]]&lt;=60,"Under 1h",Calls[[#This Row],[Duration (Min)]]&lt;=120,"Under 2",TRUE,"More than 2h")</f>
        <v>Under 2</v>
      </c>
      <c r="J447">
        <f>IF(MONTH(Calls[[#This Row],[Date of Call]])&lt;=3,YEAR(Calls[[#This Row],[Date of Call]]),YEAR(Calls[[#This Row],[Date of Call]])+1)</f>
        <v>2025</v>
      </c>
      <c r="K447" t="str">
        <f>TEXT(Calls[[#This Row],[Date of Call]],"dddd")</f>
        <v>Monday</v>
      </c>
      <c r="L447" t="str">
        <f>TEXT(Calls[[#This Row],[Date of Call]],"mmm")</f>
        <v>Mar</v>
      </c>
    </row>
    <row r="448" spans="1:12" x14ac:dyDescent="0.3">
      <c r="A448" t="s">
        <v>452</v>
      </c>
      <c r="B448" t="s">
        <v>1018</v>
      </c>
      <c r="C448">
        <v>56</v>
      </c>
      <c r="D448" t="s">
        <v>1032</v>
      </c>
      <c r="E448" t="s">
        <v>1122</v>
      </c>
      <c r="F448">
        <v>73</v>
      </c>
      <c r="G448">
        <v>2</v>
      </c>
      <c r="H448">
        <f>ROUND(Calls[[#This Row],[Satisfactory Rating]],0)</f>
        <v>2</v>
      </c>
      <c r="I448" t="str" cm="1">
        <f t="array" ref="I448">_xlfn.IFS(Calls[[#This Row],[Duration (Min)]]&lt;=30,"Under 30 mins",Calls[[#This Row],[Duration (Min)]]&lt;=60,"Under 1h",Calls[[#This Row],[Duration (Min)]]&lt;=120,"Under 2",TRUE,"More than 2h")</f>
        <v>Under 1h</v>
      </c>
      <c r="J448">
        <f>IF(MONTH(Calls[[#This Row],[Date of Call]])&lt;=3,YEAR(Calls[[#This Row],[Date of Call]]),YEAR(Calls[[#This Row],[Date of Call]])+1)</f>
        <v>2025</v>
      </c>
      <c r="K448" t="str">
        <f>TEXT(Calls[[#This Row],[Date of Call]],"dddd")</f>
        <v>Monday</v>
      </c>
      <c r="L448" t="str">
        <f>TEXT(Calls[[#This Row],[Date of Call]],"mmm")</f>
        <v>Mar</v>
      </c>
    </row>
    <row r="449" spans="1:12" x14ac:dyDescent="0.3">
      <c r="A449" t="s">
        <v>453</v>
      </c>
      <c r="B449" t="s">
        <v>1020</v>
      </c>
      <c r="C449">
        <v>155</v>
      </c>
      <c r="D449" t="s">
        <v>1032</v>
      </c>
      <c r="E449" t="s">
        <v>1122</v>
      </c>
      <c r="F449">
        <v>74</v>
      </c>
      <c r="G449">
        <v>2.2000000000000002</v>
      </c>
      <c r="H449">
        <f>ROUND(Calls[[#This Row],[Satisfactory Rating]],0)</f>
        <v>2</v>
      </c>
      <c r="I449" t="str" cm="1">
        <f t="array" ref="I449">_xlfn.IFS(Calls[[#This Row],[Duration (Min)]]&lt;=30,"Under 30 mins",Calls[[#This Row],[Duration (Min)]]&lt;=60,"Under 1h",Calls[[#This Row],[Duration (Min)]]&lt;=120,"Under 2",TRUE,"More than 2h")</f>
        <v>More than 2h</v>
      </c>
      <c r="J449">
        <f>IF(MONTH(Calls[[#This Row],[Date of Call]])&lt;=3,YEAR(Calls[[#This Row],[Date of Call]]),YEAR(Calls[[#This Row],[Date of Call]])+1)</f>
        <v>2025</v>
      </c>
      <c r="K449" t="str">
        <f>TEXT(Calls[[#This Row],[Date of Call]],"dddd")</f>
        <v>Monday</v>
      </c>
      <c r="L449" t="str">
        <f>TEXT(Calls[[#This Row],[Date of Call]],"mmm")</f>
        <v>Mar</v>
      </c>
    </row>
    <row r="450" spans="1:12" x14ac:dyDescent="0.3">
      <c r="A450" t="s">
        <v>454</v>
      </c>
      <c r="B450" t="s">
        <v>1015</v>
      </c>
      <c r="C450">
        <v>16</v>
      </c>
      <c r="D450" t="s">
        <v>1028</v>
      </c>
      <c r="E450" t="s">
        <v>1122</v>
      </c>
      <c r="F450">
        <v>100</v>
      </c>
      <c r="G450">
        <v>3.4</v>
      </c>
      <c r="H450">
        <f>ROUND(Calls[[#This Row],[Satisfactory Rating]],0)</f>
        <v>3</v>
      </c>
      <c r="I450" t="str" cm="1">
        <f t="array" ref="I450">_xlfn.IFS(Calls[[#This Row],[Duration (Min)]]&lt;=30,"Under 30 mins",Calls[[#This Row],[Duration (Min)]]&lt;=60,"Under 1h",Calls[[#This Row],[Duration (Min)]]&lt;=120,"Under 2",TRUE,"More than 2h")</f>
        <v>Under 30 mins</v>
      </c>
      <c r="J450">
        <f>IF(MONTH(Calls[[#This Row],[Date of Call]])&lt;=3,YEAR(Calls[[#This Row],[Date of Call]]),YEAR(Calls[[#This Row],[Date of Call]])+1)</f>
        <v>2025</v>
      </c>
      <c r="K450" t="str">
        <f>TEXT(Calls[[#This Row],[Date of Call]],"dddd")</f>
        <v>Monday</v>
      </c>
      <c r="L450" t="str">
        <f>TEXT(Calls[[#This Row],[Date of Call]],"mmm")</f>
        <v>Mar</v>
      </c>
    </row>
    <row r="451" spans="1:12" x14ac:dyDescent="0.3">
      <c r="A451" t="s">
        <v>455</v>
      </c>
      <c r="B451" t="s">
        <v>1021</v>
      </c>
      <c r="C451">
        <v>149</v>
      </c>
      <c r="D451" t="s">
        <v>1026</v>
      </c>
      <c r="E451" t="s">
        <v>1122</v>
      </c>
      <c r="F451">
        <v>82</v>
      </c>
      <c r="G451">
        <v>3.5</v>
      </c>
      <c r="H451">
        <f>ROUND(Calls[[#This Row],[Satisfactory Rating]],0)</f>
        <v>4</v>
      </c>
      <c r="I451" t="str" cm="1">
        <f t="array" ref="I451">_xlfn.IFS(Calls[[#This Row],[Duration (Min)]]&lt;=30,"Under 30 mins",Calls[[#This Row],[Duration (Min)]]&lt;=60,"Under 1h",Calls[[#This Row],[Duration (Min)]]&lt;=120,"Under 2",TRUE,"More than 2h")</f>
        <v>More than 2h</v>
      </c>
      <c r="J451">
        <f>IF(MONTH(Calls[[#This Row],[Date of Call]])&lt;=3,YEAR(Calls[[#This Row],[Date of Call]]),YEAR(Calls[[#This Row],[Date of Call]])+1)</f>
        <v>2025</v>
      </c>
      <c r="K451" t="str">
        <f>TEXT(Calls[[#This Row],[Date of Call]],"dddd")</f>
        <v>Monday</v>
      </c>
      <c r="L451" t="str">
        <f>TEXT(Calls[[#This Row],[Date of Call]],"mmm")</f>
        <v>Mar</v>
      </c>
    </row>
    <row r="452" spans="1:12" x14ac:dyDescent="0.3">
      <c r="A452" t="s">
        <v>456</v>
      </c>
      <c r="B452" t="s">
        <v>1023</v>
      </c>
      <c r="C452">
        <v>122</v>
      </c>
      <c r="D452" t="s">
        <v>1032</v>
      </c>
      <c r="E452" t="s">
        <v>1123</v>
      </c>
      <c r="F452">
        <v>113</v>
      </c>
      <c r="G452">
        <v>2.5</v>
      </c>
      <c r="H452">
        <f>ROUND(Calls[[#This Row],[Satisfactory Rating]],0)</f>
        <v>3</v>
      </c>
      <c r="I452" t="str" cm="1">
        <f t="array" ref="I452">_xlfn.IFS(Calls[[#This Row],[Duration (Min)]]&lt;=30,"Under 30 mins",Calls[[#This Row],[Duration (Min)]]&lt;=60,"Under 1h",Calls[[#This Row],[Duration (Min)]]&lt;=120,"Under 2",TRUE,"More than 2h")</f>
        <v>More than 2h</v>
      </c>
      <c r="J452">
        <f>IF(MONTH(Calls[[#This Row],[Date of Call]])&lt;=3,YEAR(Calls[[#This Row],[Date of Call]]),YEAR(Calls[[#This Row],[Date of Call]])+1)</f>
        <v>2026</v>
      </c>
      <c r="K452" t="str">
        <f>TEXT(Calls[[#This Row],[Date of Call]],"dddd")</f>
        <v>Tuesday</v>
      </c>
      <c r="L452" t="str">
        <f>TEXT(Calls[[#This Row],[Date of Call]],"mmm")</f>
        <v>Apr</v>
      </c>
    </row>
    <row r="453" spans="1:12" x14ac:dyDescent="0.3">
      <c r="A453" t="s">
        <v>457</v>
      </c>
      <c r="B453" t="s">
        <v>1012</v>
      </c>
      <c r="C453">
        <v>137</v>
      </c>
      <c r="D453" t="s">
        <v>1031</v>
      </c>
      <c r="E453" t="s">
        <v>1123</v>
      </c>
      <c r="F453">
        <v>150</v>
      </c>
      <c r="G453">
        <v>3.5</v>
      </c>
      <c r="H453">
        <f>ROUND(Calls[[#This Row],[Satisfactory Rating]],0)</f>
        <v>4</v>
      </c>
      <c r="I453" t="str" cm="1">
        <f t="array" ref="I453">_xlfn.IFS(Calls[[#This Row],[Duration (Min)]]&lt;=30,"Under 30 mins",Calls[[#This Row],[Duration (Min)]]&lt;=60,"Under 1h",Calls[[#This Row],[Duration (Min)]]&lt;=120,"Under 2",TRUE,"More than 2h")</f>
        <v>More than 2h</v>
      </c>
      <c r="J453">
        <f>IF(MONTH(Calls[[#This Row],[Date of Call]])&lt;=3,YEAR(Calls[[#This Row],[Date of Call]]),YEAR(Calls[[#This Row],[Date of Call]])+1)</f>
        <v>2026</v>
      </c>
      <c r="K453" t="str">
        <f>TEXT(Calls[[#This Row],[Date of Call]],"dddd")</f>
        <v>Tuesday</v>
      </c>
      <c r="L453" t="str">
        <f>TEXT(Calls[[#This Row],[Date of Call]],"mmm")</f>
        <v>Apr</v>
      </c>
    </row>
    <row r="454" spans="1:12" x14ac:dyDescent="0.3">
      <c r="A454" t="s">
        <v>458</v>
      </c>
      <c r="B454" t="s">
        <v>1019</v>
      </c>
      <c r="C454">
        <v>94</v>
      </c>
      <c r="D454" t="s">
        <v>1026</v>
      </c>
      <c r="E454" t="s">
        <v>1123</v>
      </c>
      <c r="F454">
        <v>59</v>
      </c>
      <c r="G454">
        <v>4.5</v>
      </c>
      <c r="H454">
        <f>ROUND(Calls[[#This Row],[Satisfactory Rating]],0)</f>
        <v>5</v>
      </c>
      <c r="I454" t="str" cm="1">
        <f t="array" ref="I454">_xlfn.IFS(Calls[[#This Row],[Duration (Min)]]&lt;=30,"Under 30 mins",Calls[[#This Row],[Duration (Min)]]&lt;=60,"Under 1h",Calls[[#This Row],[Duration (Min)]]&lt;=120,"Under 2",TRUE,"More than 2h")</f>
        <v>Under 2</v>
      </c>
      <c r="J454">
        <f>IF(MONTH(Calls[[#This Row],[Date of Call]])&lt;=3,YEAR(Calls[[#This Row],[Date of Call]]),YEAR(Calls[[#This Row],[Date of Call]])+1)</f>
        <v>2026</v>
      </c>
      <c r="K454" t="str">
        <f>TEXT(Calls[[#This Row],[Date of Call]],"dddd")</f>
        <v>Tuesday</v>
      </c>
      <c r="L454" t="str">
        <f>TEXT(Calls[[#This Row],[Date of Call]],"mmm")</f>
        <v>Apr</v>
      </c>
    </row>
    <row r="455" spans="1:12" x14ac:dyDescent="0.3">
      <c r="A455" t="s">
        <v>459</v>
      </c>
      <c r="B455" t="s">
        <v>1016</v>
      </c>
      <c r="C455">
        <v>136</v>
      </c>
      <c r="D455" t="s">
        <v>1026</v>
      </c>
      <c r="E455" t="s">
        <v>1123</v>
      </c>
      <c r="F455">
        <v>27</v>
      </c>
      <c r="G455">
        <v>3.2</v>
      </c>
      <c r="H455">
        <f>ROUND(Calls[[#This Row],[Satisfactory Rating]],0)</f>
        <v>3</v>
      </c>
      <c r="I455" t="str" cm="1">
        <f t="array" ref="I455">_xlfn.IFS(Calls[[#This Row],[Duration (Min)]]&lt;=30,"Under 30 mins",Calls[[#This Row],[Duration (Min)]]&lt;=60,"Under 1h",Calls[[#This Row],[Duration (Min)]]&lt;=120,"Under 2",TRUE,"More than 2h")</f>
        <v>More than 2h</v>
      </c>
      <c r="J455">
        <f>IF(MONTH(Calls[[#This Row],[Date of Call]])&lt;=3,YEAR(Calls[[#This Row],[Date of Call]]),YEAR(Calls[[#This Row],[Date of Call]])+1)</f>
        <v>2026</v>
      </c>
      <c r="K455" t="str">
        <f>TEXT(Calls[[#This Row],[Date of Call]],"dddd")</f>
        <v>Tuesday</v>
      </c>
      <c r="L455" t="str">
        <f>TEXT(Calls[[#This Row],[Date of Call]],"mmm")</f>
        <v>Apr</v>
      </c>
    </row>
    <row r="456" spans="1:12" x14ac:dyDescent="0.3">
      <c r="A456" t="s">
        <v>460</v>
      </c>
      <c r="B456" t="s">
        <v>1019</v>
      </c>
      <c r="C456">
        <v>116</v>
      </c>
      <c r="D456" t="s">
        <v>1027</v>
      </c>
      <c r="E456" t="s">
        <v>1123</v>
      </c>
      <c r="F456">
        <v>50</v>
      </c>
      <c r="G456">
        <v>2.6</v>
      </c>
      <c r="H456">
        <f>ROUND(Calls[[#This Row],[Satisfactory Rating]],0)</f>
        <v>3</v>
      </c>
      <c r="I456" t="str" cm="1">
        <f t="array" ref="I456">_xlfn.IFS(Calls[[#This Row],[Duration (Min)]]&lt;=30,"Under 30 mins",Calls[[#This Row],[Duration (Min)]]&lt;=60,"Under 1h",Calls[[#This Row],[Duration (Min)]]&lt;=120,"Under 2",TRUE,"More than 2h")</f>
        <v>Under 2</v>
      </c>
      <c r="J456">
        <f>IF(MONTH(Calls[[#This Row],[Date of Call]])&lt;=3,YEAR(Calls[[#This Row],[Date of Call]]),YEAR(Calls[[#This Row],[Date of Call]])+1)</f>
        <v>2026</v>
      </c>
      <c r="K456" t="str">
        <f>TEXT(Calls[[#This Row],[Date of Call]],"dddd")</f>
        <v>Tuesday</v>
      </c>
      <c r="L456" t="str">
        <f>TEXT(Calls[[#This Row],[Date of Call]],"mmm")</f>
        <v>Apr</v>
      </c>
    </row>
    <row r="457" spans="1:12" x14ac:dyDescent="0.3">
      <c r="A457" t="s">
        <v>461</v>
      </c>
      <c r="B457" t="s">
        <v>1014</v>
      </c>
      <c r="C457">
        <v>150</v>
      </c>
      <c r="D457" t="s">
        <v>1028</v>
      </c>
      <c r="E457" t="s">
        <v>1124</v>
      </c>
      <c r="F457">
        <v>119</v>
      </c>
      <c r="G457">
        <v>3.9</v>
      </c>
      <c r="H457">
        <f>ROUND(Calls[[#This Row],[Satisfactory Rating]],0)</f>
        <v>4</v>
      </c>
      <c r="I457" t="str" cm="1">
        <f t="array" ref="I457">_xlfn.IFS(Calls[[#This Row],[Duration (Min)]]&lt;=30,"Under 30 mins",Calls[[#This Row],[Duration (Min)]]&lt;=60,"Under 1h",Calls[[#This Row],[Duration (Min)]]&lt;=120,"Under 2",TRUE,"More than 2h")</f>
        <v>More than 2h</v>
      </c>
      <c r="J457">
        <f>IF(MONTH(Calls[[#This Row],[Date of Call]])&lt;=3,YEAR(Calls[[#This Row],[Date of Call]]),YEAR(Calls[[#This Row],[Date of Call]])+1)</f>
        <v>2026</v>
      </c>
      <c r="K457" t="str">
        <f>TEXT(Calls[[#This Row],[Date of Call]],"dddd")</f>
        <v>Wednesday</v>
      </c>
      <c r="L457" t="str">
        <f>TEXT(Calls[[#This Row],[Date of Call]],"mmm")</f>
        <v>Apr</v>
      </c>
    </row>
    <row r="458" spans="1:12" x14ac:dyDescent="0.3">
      <c r="A458" t="s">
        <v>462</v>
      </c>
      <c r="B458" t="s">
        <v>1024</v>
      </c>
      <c r="C458">
        <v>53</v>
      </c>
      <c r="D458" t="s">
        <v>1032</v>
      </c>
      <c r="E458" t="s">
        <v>1124</v>
      </c>
      <c r="F458">
        <v>121</v>
      </c>
      <c r="G458">
        <v>2.8</v>
      </c>
      <c r="H458">
        <f>ROUND(Calls[[#This Row],[Satisfactory Rating]],0)</f>
        <v>3</v>
      </c>
      <c r="I458" t="str" cm="1">
        <f t="array" ref="I458">_xlfn.IFS(Calls[[#This Row],[Duration (Min)]]&lt;=30,"Under 30 mins",Calls[[#This Row],[Duration (Min)]]&lt;=60,"Under 1h",Calls[[#This Row],[Duration (Min)]]&lt;=120,"Under 2",TRUE,"More than 2h")</f>
        <v>Under 1h</v>
      </c>
      <c r="J458">
        <f>IF(MONTH(Calls[[#This Row],[Date of Call]])&lt;=3,YEAR(Calls[[#This Row],[Date of Call]]),YEAR(Calls[[#This Row],[Date of Call]])+1)</f>
        <v>2026</v>
      </c>
      <c r="K458" t="str">
        <f>TEXT(Calls[[#This Row],[Date of Call]],"dddd")</f>
        <v>Wednesday</v>
      </c>
      <c r="L458" t="str">
        <f>TEXT(Calls[[#This Row],[Date of Call]],"mmm")</f>
        <v>Apr</v>
      </c>
    </row>
    <row r="459" spans="1:12" x14ac:dyDescent="0.3">
      <c r="A459" t="s">
        <v>463</v>
      </c>
      <c r="B459" t="s">
        <v>1009</v>
      </c>
      <c r="C459">
        <v>72</v>
      </c>
      <c r="D459" t="s">
        <v>1026</v>
      </c>
      <c r="E459" t="s">
        <v>1124</v>
      </c>
      <c r="F459">
        <v>150</v>
      </c>
      <c r="G459">
        <v>3</v>
      </c>
      <c r="H459">
        <f>ROUND(Calls[[#This Row],[Satisfactory Rating]],0)</f>
        <v>3</v>
      </c>
      <c r="I459" t="str" cm="1">
        <f t="array" ref="I459">_xlfn.IFS(Calls[[#This Row],[Duration (Min)]]&lt;=30,"Under 30 mins",Calls[[#This Row],[Duration (Min)]]&lt;=60,"Under 1h",Calls[[#This Row],[Duration (Min)]]&lt;=120,"Under 2",TRUE,"More than 2h")</f>
        <v>Under 2</v>
      </c>
      <c r="J459">
        <f>IF(MONTH(Calls[[#This Row],[Date of Call]])&lt;=3,YEAR(Calls[[#This Row],[Date of Call]]),YEAR(Calls[[#This Row],[Date of Call]])+1)</f>
        <v>2026</v>
      </c>
      <c r="K459" t="str">
        <f>TEXT(Calls[[#This Row],[Date of Call]],"dddd")</f>
        <v>Wednesday</v>
      </c>
      <c r="L459" t="str">
        <f>TEXT(Calls[[#This Row],[Date of Call]],"mmm")</f>
        <v>Apr</v>
      </c>
    </row>
    <row r="460" spans="1:12" x14ac:dyDescent="0.3">
      <c r="A460" t="s">
        <v>464</v>
      </c>
      <c r="B460" t="s">
        <v>1011</v>
      </c>
      <c r="C460">
        <v>133</v>
      </c>
      <c r="D460" t="s">
        <v>1031</v>
      </c>
      <c r="E460" t="s">
        <v>1124</v>
      </c>
      <c r="F460">
        <v>80</v>
      </c>
      <c r="G460">
        <v>3.8</v>
      </c>
      <c r="H460">
        <f>ROUND(Calls[[#This Row],[Satisfactory Rating]],0)</f>
        <v>4</v>
      </c>
      <c r="I460" t="str" cm="1">
        <f t="array" ref="I460">_xlfn.IFS(Calls[[#This Row],[Duration (Min)]]&lt;=30,"Under 30 mins",Calls[[#This Row],[Duration (Min)]]&lt;=60,"Under 1h",Calls[[#This Row],[Duration (Min)]]&lt;=120,"Under 2",TRUE,"More than 2h")</f>
        <v>More than 2h</v>
      </c>
      <c r="J460">
        <f>IF(MONTH(Calls[[#This Row],[Date of Call]])&lt;=3,YEAR(Calls[[#This Row],[Date of Call]]),YEAR(Calls[[#This Row],[Date of Call]])+1)</f>
        <v>2026</v>
      </c>
      <c r="K460" t="str">
        <f>TEXT(Calls[[#This Row],[Date of Call]],"dddd")</f>
        <v>Wednesday</v>
      </c>
      <c r="L460" t="str">
        <f>TEXT(Calls[[#This Row],[Date of Call]],"mmm")</f>
        <v>Apr</v>
      </c>
    </row>
    <row r="461" spans="1:12" x14ac:dyDescent="0.3">
      <c r="A461" t="s">
        <v>465</v>
      </c>
      <c r="B461" t="s">
        <v>1008</v>
      </c>
      <c r="C461">
        <v>112</v>
      </c>
      <c r="D461" t="s">
        <v>1026</v>
      </c>
      <c r="E461" t="s">
        <v>1124</v>
      </c>
      <c r="F461">
        <v>24</v>
      </c>
      <c r="G461">
        <v>2.6</v>
      </c>
      <c r="H461">
        <f>ROUND(Calls[[#This Row],[Satisfactory Rating]],0)</f>
        <v>3</v>
      </c>
      <c r="I461" t="str" cm="1">
        <f t="array" ref="I461">_xlfn.IFS(Calls[[#This Row],[Duration (Min)]]&lt;=30,"Under 30 mins",Calls[[#This Row],[Duration (Min)]]&lt;=60,"Under 1h",Calls[[#This Row],[Duration (Min)]]&lt;=120,"Under 2",TRUE,"More than 2h")</f>
        <v>Under 2</v>
      </c>
      <c r="J461">
        <f>IF(MONTH(Calls[[#This Row],[Date of Call]])&lt;=3,YEAR(Calls[[#This Row],[Date of Call]]),YEAR(Calls[[#This Row],[Date of Call]])+1)</f>
        <v>2026</v>
      </c>
      <c r="K461" t="str">
        <f>TEXT(Calls[[#This Row],[Date of Call]],"dddd")</f>
        <v>Wednesday</v>
      </c>
      <c r="L461" t="str">
        <f>TEXT(Calls[[#This Row],[Date of Call]],"mmm")</f>
        <v>Apr</v>
      </c>
    </row>
    <row r="462" spans="1:12" x14ac:dyDescent="0.3">
      <c r="A462" t="s">
        <v>466</v>
      </c>
      <c r="B462" t="s">
        <v>1014</v>
      </c>
      <c r="C462">
        <v>146</v>
      </c>
      <c r="D462" t="s">
        <v>1030</v>
      </c>
      <c r="E462" t="s">
        <v>1125</v>
      </c>
      <c r="F462">
        <v>51</v>
      </c>
      <c r="G462">
        <v>4.7</v>
      </c>
      <c r="H462">
        <f>ROUND(Calls[[#This Row],[Satisfactory Rating]],0)</f>
        <v>5</v>
      </c>
      <c r="I462" t="str" cm="1">
        <f t="array" ref="I462">_xlfn.IFS(Calls[[#This Row],[Duration (Min)]]&lt;=30,"Under 30 mins",Calls[[#This Row],[Duration (Min)]]&lt;=60,"Under 1h",Calls[[#This Row],[Duration (Min)]]&lt;=120,"Under 2",TRUE,"More than 2h")</f>
        <v>More than 2h</v>
      </c>
      <c r="J462">
        <f>IF(MONTH(Calls[[#This Row],[Date of Call]])&lt;=3,YEAR(Calls[[#This Row],[Date of Call]]),YEAR(Calls[[#This Row],[Date of Call]])+1)</f>
        <v>2026</v>
      </c>
      <c r="K462" t="str">
        <f>TEXT(Calls[[#This Row],[Date of Call]],"dddd")</f>
        <v>Thursday</v>
      </c>
      <c r="L462" t="str">
        <f>TEXT(Calls[[#This Row],[Date of Call]],"mmm")</f>
        <v>Apr</v>
      </c>
    </row>
    <row r="463" spans="1:12" x14ac:dyDescent="0.3">
      <c r="A463" t="s">
        <v>467</v>
      </c>
      <c r="B463" t="s">
        <v>1013</v>
      </c>
      <c r="C463">
        <v>104</v>
      </c>
      <c r="D463" t="s">
        <v>1028</v>
      </c>
      <c r="E463" t="s">
        <v>1125</v>
      </c>
      <c r="F463">
        <v>104</v>
      </c>
      <c r="G463">
        <v>2.5</v>
      </c>
      <c r="H463">
        <f>ROUND(Calls[[#This Row],[Satisfactory Rating]],0)</f>
        <v>3</v>
      </c>
      <c r="I463" t="str" cm="1">
        <f t="array" ref="I463">_xlfn.IFS(Calls[[#This Row],[Duration (Min)]]&lt;=30,"Under 30 mins",Calls[[#This Row],[Duration (Min)]]&lt;=60,"Under 1h",Calls[[#This Row],[Duration (Min)]]&lt;=120,"Under 2",TRUE,"More than 2h")</f>
        <v>Under 2</v>
      </c>
      <c r="J463">
        <f>IF(MONTH(Calls[[#This Row],[Date of Call]])&lt;=3,YEAR(Calls[[#This Row],[Date of Call]]),YEAR(Calls[[#This Row],[Date of Call]])+1)</f>
        <v>2026</v>
      </c>
      <c r="K463" t="str">
        <f>TEXT(Calls[[#This Row],[Date of Call]],"dddd")</f>
        <v>Thursday</v>
      </c>
      <c r="L463" t="str">
        <f>TEXT(Calls[[#This Row],[Date of Call]],"mmm")</f>
        <v>Apr</v>
      </c>
    </row>
    <row r="464" spans="1:12" x14ac:dyDescent="0.3">
      <c r="A464" t="s">
        <v>468</v>
      </c>
      <c r="B464" t="s">
        <v>1014</v>
      </c>
      <c r="C464">
        <v>57</v>
      </c>
      <c r="D464" t="s">
        <v>1026</v>
      </c>
      <c r="E464" t="s">
        <v>1125</v>
      </c>
      <c r="F464">
        <v>36</v>
      </c>
      <c r="G464">
        <v>4.4000000000000004</v>
      </c>
      <c r="H464">
        <f>ROUND(Calls[[#This Row],[Satisfactory Rating]],0)</f>
        <v>4</v>
      </c>
      <c r="I464" t="str" cm="1">
        <f t="array" ref="I464">_xlfn.IFS(Calls[[#This Row],[Duration (Min)]]&lt;=30,"Under 30 mins",Calls[[#This Row],[Duration (Min)]]&lt;=60,"Under 1h",Calls[[#This Row],[Duration (Min)]]&lt;=120,"Under 2",TRUE,"More than 2h")</f>
        <v>Under 1h</v>
      </c>
      <c r="J464">
        <f>IF(MONTH(Calls[[#This Row],[Date of Call]])&lt;=3,YEAR(Calls[[#This Row],[Date of Call]]),YEAR(Calls[[#This Row],[Date of Call]])+1)</f>
        <v>2026</v>
      </c>
      <c r="K464" t="str">
        <f>TEXT(Calls[[#This Row],[Date of Call]],"dddd")</f>
        <v>Thursday</v>
      </c>
      <c r="L464" t="str">
        <f>TEXT(Calls[[#This Row],[Date of Call]],"mmm")</f>
        <v>Apr</v>
      </c>
    </row>
    <row r="465" spans="1:12" x14ac:dyDescent="0.3">
      <c r="A465" t="s">
        <v>469</v>
      </c>
      <c r="B465" t="s">
        <v>1019</v>
      </c>
      <c r="C465">
        <v>95</v>
      </c>
      <c r="D465" t="s">
        <v>1028</v>
      </c>
      <c r="E465" t="s">
        <v>1125</v>
      </c>
      <c r="F465">
        <v>119</v>
      </c>
      <c r="G465">
        <v>2</v>
      </c>
      <c r="H465">
        <f>ROUND(Calls[[#This Row],[Satisfactory Rating]],0)</f>
        <v>2</v>
      </c>
      <c r="I465" t="str" cm="1">
        <f t="array" ref="I465">_xlfn.IFS(Calls[[#This Row],[Duration (Min)]]&lt;=30,"Under 30 mins",Calls[[#This Row],[Duration (Min)]]&lt;=60,"Under 1h",Calls[[#This Row],[Duration (Min)]]&lt;=120,"Under 2",TRUE,"More than 2h")</f>
        <v>Under 2</v>
      </c>
      <c r="J465">
        <f>IF(MONTH(Calls[[#This Row],[Date of Call]])&lt;=3,YEAR(Calls[[#This Row],[Date of Call]]),YEAR(Calls[[#This Row],[Date of Call]])+1)</f>
        <v>2026</v>
      </c>
      <c r="K465" t="str">
        <f>TEXT(Calls[[#This Row],[Date of Call]],"dddd")</f>
        <v>Thursday</v>
      </c>
      <c r="L465" t="str">
        <f>TEXT(Calls[[#This Row],[Date of Call]],"mmm")</f>
        <v>Apr</v>
      </c>
    </row>
    <row r="466" spans="1:12" x14ac:dyDescent="0.3">
      <c r="A466" t="s">
        <v>470</v>
      </c>
      <c r="B466" t="s">
        <v>1016</v>
      </c>
      <c r="C466">
        <v>85</v>
      </c>
      <c r="D466" t="s">
        <v>1032</v>
      </c>
      <c r="E466" t="s">
        <v>1125</v>
      </c>
      <c r="F466">
        <v>74</v>
      </c>
      <c r="G466">
        <v>2.9</v>
      </c>
      <c r="H466">
        <f>ROUND(Calls[[#This Row],[Satisfactory Rating]],0)</f>
        <v>3</v>
      </c>
      <c r="I466" t="str" cm="1">
        <f t="array" ref="I466">_xlfn.IFS(Calls[[#This Row],[Duration (Min)]]&lt;=30,"Under 30 mins",Calls[[#This Row],[Duration (Min)]]&lt;=60,"Under 1h",Calls[[#This Row],[Duration (Min)]]&lt;=120,"Under 2",TRUE,"More than 2h")</f>
        <v>Under 2</v>
      </c>
      <c r="J466">
        <f>IF(MONTH(Calls[[#This Row],[Date of Call]])&lt;=3,YEAR(Calls[[#This Row],[Date of Call]]),YEAR(Calls[[#This Row],[Date of Call]])+1)</f>
        <v>2026</v>
      </c>
      <c r="K466" t="str">
        <f>TEXT(Calls[[#This Row],[Date of Call]],"dddd")</f>
        <v>Thursday</v>
      </c>
      <c r="L466" t="str">
        <f>TEXT(Calls[[#This Row],[Date of Call]],"mmm")</f>
        <v>Apr</v>
      </c>
    </row>
    <row r="467" spans="1:12" x14ac:dyDescent="0.3">
      <c r="A467" t="s">
        <v>471</v>
      </c>
      <c r="B467" t="s">
        <v>1024</v>
      </c>
      <c r="C467">
        <v>17</v>
      </c>
      <c r="D467" t="s">
        <v>1030</v>
      </c>
      <c r="E467" t="s">
        <v>1126</v>
      </c>
      <c r="F467">
        <v>138</v>
      </c>
      <c r="G467">
        <v>1.7</v>
      </c>
      <c r="H467">
        <f>ROUND(Calls[[#This Row],[Satisfactory Rating]],0)</f>
        <v>2</v>
      </c>
      <c r="I467" t="str" cm="1">
        <f t="array" ref="I467">_xlfn.IFS(Calls[[#This Row],[Duration (Min)]]&lt;=30,"Under 30 mins",Calls[[#This Row],[Duration (Min)]]&lt;=60,"Under 1h",Calls[[#This Row],[Duration (Min)]]&lt;=120,"Under 2",TRUE,"More than 2h")</f>
        <v>Under 30 mins</v>
      </c>
      <c r="J467">
        <f>IF(MONTH(Calls[[#This Row],[Date of Call]])&lt;=3,YEAR(Calls[[#This Row],[Date of Call]]),YEAR(Calls[[#This Row],[Date of Call]])+1)</f>
        <v>2026</v>
      </c>
      <c r="K467" t="str">
        <f>TEXT(Calls[[#This Row],[Date of Call]],"dddd")</f>
        <v>Friday</v>
      </c>
      <c r="L467" t="str">
        <f>TEXT(Calls[[#This Row],[Date of Call]],"mmm")</f>
        <v>Apr</v>
      </c>
    </row>
    <row r="468" spans="1:12" x14ac:dyDescent="0.3">
      <c r="A468" t="s">
        <v>472</v>
      </c>
      <c r="B468" t="s">
        <v>1012</v>
      </c>
      <c r="C468">
        <v>119</v>
      </c>
      <c r="D468" t="s">
        <v>1027</v>
      </c>
      <c r="E468" t="s">
        <v>1126</v>
      </c>
      <c r="F468">
        <v>39</v>
      </c>
      <c r="G468">
        <v>4.0999999999999996</v>
      </c>
      <c r="H468">
        <f>ROUND(Calls[[#This Row],[Satisfactory Rating]],0)</f>
        <v>4</v>
      </c>
      <c r="I468" t="str" cm="1">
        <f t="array" ref="I468">_xlfn.IFS(Calls[[#This Row],[Duration (Min)]]&lt;=30,"Under 30 mins",Calls[[#This Row],[Duration (Min)]]&lt;=60,"Under 1h",Calls[[#This Row],[Duration (Min)]]&lt;=120,"Under 2",TRUE,"More than 2h")</f>
        <v>Under 2</v>
      </c>
      <c r="J468">
        <f>IF(MONTH(Calls[[#This Row],[Date of Call]])&lt;=3,YEAR(Calls[[#This Row],[Date of Call]]),YEAR(Calls[[#This Row],[Date of Call]])+1)</f>
        <v>2026</v>
      </c>
      <c r="K468" t="str">
        <f>TEXT(Calls[[#This Row],[Date of Call]],"dddd")</f>
        <v>Friday</v>
      </c>
      <c r="L468" t="str">
        <f>TEXT(Calls[[#This Row],[Date of Call]],"mmm")</f>
        <v>Apr</v>
      </c>
    </row>
    <row r="469" spans="1:12" x14ac:dyDescent="0.3">
      <c r="A469" t="s">
        <v>473</v>
      </c>
      <c r="B469" t="s">
        <v>1017</v>
      </c>
      <c r="C469">
        <v>104</v>
      </c>
      <c r="D469" t="s">
        <v>1026</v>
      </c>
      <c r="E469" t="s">
        <v>1126</v>
      </c>
      <c r="F469">
        <v>150</v>
      </c>
      <c r="G469">
        <v>1.9</v>
      </c>
      <c r="H469">
        <f>ROUND(Calls[[#This Row],[Satisfactory Rating]],0)</f>
        <v>2</v>
      </c>
      <c r="I469" t="str" cm="1">
        <f t="array" ref="I469">_xlfn.IFS(Calls[[#This Row],[Duration (Min)]]&lt;=30,"Under 30 mins",Calls[[#This Row],[Duration (Min)]]&lt;=60,"Under 1h",Calls[[#This Row],[Duration (Min)]]&lt;=120,"Under 2",TRUE,"More than 2h")</f>
        <v>Under 2</v>
      </c>
      <c r="J469">
        <f>IF(MONTH(Calls[[#This Row],[Date of Call]])&lt;=3,YEAR(Calls[[#This Row],[Date of Call]]),YEAR(Calls[[#This Row],[Date of Call]])+1)</f>
        <v>2026</v>
      </c>
      <c r="K469" t="str">
        <f>TEXT(Calls[[#This Row],[Date of Call]],"dddd")</f>
        <v>Friday</v>
      </c>
      <c r="L469" t="str">
        <f>TEXT(Calls[[#This Row],[Date of Call]],"mmm")</f>
        <v>Apr</v>
      </c>
    </row>
    <row r="470" spans="1:12" x14ac:dyDescent="0.3">
      <c r="A470" t="s">
        <v>474</v>
      </c>
      <c r="B470" t="s">
        <v>1016</v>
      </c>
      <c r="C470">
        <v>74</v>
      </c>
      <c r="D470" t="s">
        <v>1028</v>
      </c>
      <c r="E470" t="s">
        <v>1126</v>
      </c>
      <c r="F470">
        <v>43</v>
      </c>
      <c r="G470">
        <v>4.5999999999999996</v>
      </c>
      <c r="H470">
        <f>ROUND(Calls[[#This Row],[Satisfactory Rating]],0)</f>
        <v>5</v>
      </c>
      <c r="I470" t="str" cm="1">
        <f t="array" ref="I470">_xlfn.IFS(Calls[[#This Row],[Duration (Min)]]&lt;=30,"Under 30 mins",Calls[[#This Row],[Duration (Min)]]&lt;=60,"Under 1h",Calls[[#This Row],[Duration (Min)]]&lt;=120,"Under 2",TRUE,"More than 2h")</f>
        <v>Under 2</v>
      </c>
      <c r="J470">
        <f>IF(MONTH(Calls[[#This Row],[Date of Call]])&lt;=3,YEAR(Calls[[#This Row],[Date of Call]]),YEAR(Calls[[#This Row],[Date of Call]])+1)</f>
        <v>2026</v>
      </c>
      <c r="K470" t="str">
        <f>TEXT(Calls[[#This Row],[Date of Call]],"dddd")</f>
        <v>Friday</v>
      </c>
      <c r="L470" t="str">
        <f>TEXT(Calls[[#This Row],[Date of Call]],"mmm")</f>
        <v>Apr</v>
      </c>
    </row>
    <row r="471" spans="1:12" x14ac:dyDescent="0.3">
      <c r="A471" t="s">
        <v>475</v>
      </c>
      <c r="B471" t="s">
        <v>1012</v>
      </c>
      <c r="C471">
        <v>94</v>
      </c>
      <c r="D471" t="s">
        <v>1026</v>
      </c>
      <c r="E471" t="s">
        <v>1126</v>
      </c>
      <c r="F471">
        <v>138</v>
      </c>
      <c r="G471">
        <v>3.1</v>
      </c>
      <c r="H471">
        <f>ROUND(Calls[[#This Row],[Satisfactory Rating]],0)</f>
        <v>3</v>
      </c>
      <c r="I471" t="str" cm="1">
        <f t="array" ref="I471">_xlfn.IFS(Calls[[#This Row],[Duration (Min)]]&lt;=30,"Under 30 mins",Calls[[#This Row],[Duration (Min)]]&lt;=60,"Under 1h",Calls[[#This Row],[Duration (Min)]]&lt;=120,"Under 2",TRUE,"More than 2h")</f>
        <v>Under 2</v>
      </c>
      <c r="J471">
        <f>IF(MONTH(Calls[[#This Row],[Date of Call]])&lt;=3,YEAR(Calls[[#This Row],[Date of Call]]),YEAR(Calls[[#This Row],[Date of Call]])+1)</f>
        <v>2026</v>
      </c>
      <c r="K471" t="str">
        <f>TEXT(Calls[[#This Row],[Date of Call]],"dddd")</f>
        <v>Friday</v>
      </c>
      <c r="L471" t="str">
        <f>TEXT(Calls[[#This Row],[Date of Call]],"mmm")</f>
        <v>Apr</v>
      </c>
    </row>
    <row r="472" spans="1:12" x14ac:dyDescent="0.3">
      <c r="A472" t="s">
        <v>476</v>
      </c>
      <c r="B472" t="s">
        <v>1024</v>
      </c>
      <c r="C472">
        <v>109</v>
      </c>
      <c r="D472" t="s">
        <v>1031</v>
      </c>
      <c r="E472" t="s">
        <v>1127</v>
      </c>
      <c r="F472">
        <v>141</v>
      </c>
      <c r="G472">
        <v>2.8</v>
      </c>
      <c r="H472">
        <f>ROUND(Calls[[#This Row],[Satisfactory Rating]],0)</f>
        <v>3</v>
      </c>
      <c r="I472" t="str" cm="1">
        <f t="array" ref="I472">_xlfn.IFS(Calls[[#This Row],[Duration (Min)]]&lt;=30,"Under 30 mins",Calls[[#This Row],[Duration (Min)]]&lt;=60,"Under 1h",Calls[[#This Row],[Duration (Min)]]&lt;=120,"Under 2",TRUE,"More than 2h")</f>
        <v>Under 2</v>
      </c>
      <c r="J472">
        <f>IF(MONTH(Calls[[#This Row],[Date of Call]])&lt;=3,YEAR(Calls[[#This Row],[Date of Call]]),YEAR(Calls[[#This Row],[Date of Call]])+1)</f>
        <v>2026</v>
      </c>
      <c r="K472" t="str">
        <f>TEXT(Calls[[#This Row],[Date of Call]],"dddd")</f>
        <v>Saturday</v>
      </c>
      <c r="L472" t="str">
        <f>TEXT(Calls[[#This Row],[Date of Call]],"mmm")</f>
        <v>Apr</v>
      </c>
    </row>
    <row r="473" spans="1:12" x14ac:dyDescent="0.3">
      <c r="A473" t="s">
        <v>477</v>
      </c>
      <c r="B473" t="s">
        <v>1024</v>
      </c>
      <c r="C473">
        <v>142</v>
      </c>
      <c r="D473" t="s">
        <v>1032</v>
      </c>
      <c r="E473" t="s">
        <v>1127</v>
      </c>
      <c r="F473">
        <v>19</v>
      </c>
      <c r="G473">
        <v>2.1</v>
      </c>
      <c r="H473">
        <f>ROUND(Calls[[#This Row],[Satisfactory Rating]],0)</f>
        <v>2</v>
      </c>
      <c r="I473" t="str" cm="1">
        <f t="array" ref="I473">_xlfn.IFS(Calls[[#This Row],[Duration (Min)]]&lt;=30,"Under 30 mins",Calls[[#This Row],[Duration (Min)]]&lt;=60,"Under 1h",Calls[[#This Row],[Duration (Min)]]&lt;=120,"Under 2",TRUE,"More than 2h")</f>
        <v>More than 2h</v>
      </c>
      <c r="J473">
        <f>IF(MONTH(Calls[[#This Row],[Date of Call]])&lt;=3,YEAR(Calls[[#This Row],[Date of Call]]),YEAR(Calls[[#This Row],[Date of Call]])+1)</f>
        <v>2026</v>
      </c>
      <c r="K473" t="str">
        <f>TEXT(Calls[[#This Row],[Date of Call]],"dddd")</f>
        <v>Saturday</v>
      </c>
      <c r="L473" t="str">
        <f>TEXT(Calls[[#This Row],[Date of Call]],"mmm")</f>
        <v>Apr</v>
      </c>
    </row>
    <row r="474" spans="1:12" x14ac:dyDescent="0.3">
      <c r="A474" t="s">
        <v>478</v>
      </c>
      <c r="B474" t="s">
        <v>1018</v>
      </c>
      <c r="C474">
        <v>129</v>
      </c>
      <c r="D474" t="s">
        <v>1030</v>
      </c>
      <c r="E474" t="s">
        <v>1127</v>
      </c>
      <c r="F474">
        <v>99</v>
      </c>
      <c r="G474">
        <v>1.3</v>
      </c>
      <c r="H474">
        <f>ROUND(Calls[[#This Row],[Satisfactory Rating]],0)</f>
        <v>1</v>
      </c>
      <c r="I474" t="str" cm="1">
        <f t="array" ref="I474">_xlfn.IFS(Calls[[#This Row],[Duration (Min)]]&lt;=30,"Under 30 mins",Calls[[#This Row],[Duration (Min)]]&lt;=60,"Under 1h",Calls[[#This Row],[Duration (Min)]]&lt;=120,"Under 2",TRUE,"More than 2h")</f>
        <v>More than 2h</v>
      </c>
      <c r="J474">
        <f>IF(MONTH(Calls[[#This Row],[Date of Call]])&lt;=3,YEAR(Calls[[#This Row],[Date of Call]]),YEAR(Calls[[#This Row],[Date of Call]])+1)</f>
        <v>2026</v>
      </c>
      <c r="K474" t="str">
        <f>TEXT(Calls[[#This Row],[Date of Call]],"dddd")</f>
        <v>Saturday</v>
      </c>
      <c r="L474" t="str">
        <f>TEXT(Calls[[#This Row],[Date of Call]],"mmm")</f>
        <v>Apr</v>
      </c>
    </row>
    <row r="475" spans="1:12" x14ac:dyDescent="0.3">
      <c r="A475" t="s">
        <v>479</v>
      </c>
      <c r="B475" t="s">
        <v>1024</v>
      </c>
      <c r="C475">
        <v>32</v>
      </c>
      <c r="D475" t="s">
        <v>1026</v>
      </c>
      <c r="E475" t="s">
        <v>1127</v>
      </c>
      <c r="F475">
        <v>139</v>
      </c>
      <c r="G475">
        <v>3.6</v>
      </c>
      <c r="H475">
        <f>ROUND(Calls[[#This Row],[Satisfactory Rating]],0)</f>
        <v>4</v>
      </c>
      <c r="I475" t="str" cm="1">
        <f t="array" ref="I475">_xlfn.IFS(Calls[[#This Row],[Duration (Min)]]&lt;=30,"Under 30 mins",Calls[[#This Row],[Duration (Min)]]&lt;=60,"Under 1h",Calls[[#This Row],[Duration (Min)]]&lt;=120,"Under 2",TRUE,"More than 2h")</f>
        <v>Under 1h</v>
      </c>
      <c r="J475">
        <f>IF(MONTH(Calls[[#This Row],[Date of Call]])&lt;=3,YEAR(Calls[[#This Row],[Date of Call]]),YEAR(Calls[[#This Row],[Date of Call]])+1)</f>
        <v>2026</v>
      </c>
      <c r="K475" t="str">
        <f>TEXT(Calls[[#This Row],[Date of Call]],"dddd")</f>
        <v>Saturday</v>
      </c>
      <c r="L475" t="str">
        <f>TEXT(Calls[[#This Row],[Date of Call]],"mmm")</f>
        <v>Apr</v>
      </c>
    </row>
    <row r="476" spans="1:12" x14ac:dyDescent="0.3">
      <c r="A476" t="s">
        <v>480</v>
      </c>
      <c r="B476" t="s">
        <v>1020</v>
      </c>
      <c r="C476">
        <v>143</v>
      </c>
      <c r="D476" t="s">
        <v>1029</v>
      </c>
      <c r="E476" t="s">
        <v>1127</v>
      </c>
      <c r="F476">
        <v>82</v>
      </c>
      <c r="G476">
        <v>3.4</v>
      </c>
      <c r="H476">
        <f>ROUND(Calls[[#This Row],[Satisfactory Rating]],0)</f>
        <v>3</v>
      </c>
      <c r="I476" t="str" cm="1">
        <f t="array" ref="I476">_xlfn.IFS(Calls[[#This Row],[Duration (Min)]]&lt;=30,"Under 30 mins",Calls[[#This Row],[Duration (Min)]]&lt;=60,"Under 1h",Calls[[#This Row],[Duration (Min)]]&lt;=120,"Under 2",TRUE,"More than 2h")</f>
        <v>More than 2h</v>
      </c>
      <c r="J476">
        <f>IF(MONTH(Calls[[#This Row],[Date of Call]])&lt;=3,YEAR(Calls[[#This Row],[Date of Call]]),YEAR(Calls[[#This Row],[Date of Call]])+1)</f>
        <v>2026</v>
      </c>
      <c r="K476" t="str">
        <f>TEXT(Calls[[#This Row],[Date of Call]],"dddd")</f>
        <v>Saturday</v>
      </c>
      <c r="L476" t="str">
        <f>TEXT(Calls[[#This Row],[Date of Call]],"mmm")</f>
        <v>Apr</v>
      </c>
    </row>
    <row r="477" spans="1:12" x14ac:dyDescent="0.3">
      <c r="A477" t="s">
        <v>481</v>
      </c>
      <c r="B477" t="s">
        <v>1014</v>
      </c>
      <c r="C477">
        <v>160</v>
      </c>
      <c r="D477" t="s">
        <v>1028</v>
      </c>
      <c r="E477" t="s">
        <v>1128</v>
      </c>
      <c r="F477">
        <v>137</v>
      </c>
      <c r="G477">
        <v>4.8</v>
      </c>
      <c r="H477">
        <f>ROUND(Calls[[#This Row],[Satisfactory Rating]],0)</f>
        <v>5</v>
      </c>
      <c r="I477" t="str" cm="1">
        <f t="array" ref="I477">_xlfn.IFS(Calls[[#This Row],[Duration (Min)]]&lt;=30,"Under 30 mins",Calls[[#This Row],[Duration (Min)]]&lt;=60,"Under 1h",Calls[[#This Row],[Duration (Min)]]&lt;=120,"Under 2",TRUE,"More than 2h")</f>
        <v>More than 2h</v>
      </c>
      <c r="J477">
        <f>IF(MONTH(Calls[[#This Row],[Date of Call]])&lt;=3,YEAR(Calls[[#This Row],[Date of Call]]),YEAR(Calls[[#This Row],[Date of Call]])+1)</f>
        <v>2026</v>
      </c>
      <c r="K477" t="str">
        <f>TEXT(Calls[[#This Row],[Date of Call]],"dddd")</f>
        <v>Sunday</v>
      </c>
      <c r="L477" t="str">
        <f>TEXT(Calls[[#This Row],[Date of Call]],"mmm")</f>
        <v>Apr</v>
      </c>
    </row>
    <row r="478" spans="1:12" x14ac:dyDescent="0.3">
      <c r="A478" t="s">
        <v>482</v>
      </c>
      <c r="B478" t="s">
        <v>1006</v>
      </c>
      <c r="C478">
        <v>103</v>
      </c>
      <c r="D478" t="s">
        <v>1032</v>
      </c>
      <c r="E478" t="s">
        <v>1128</v>
      </c>
      <c r="F478">
        <v>91</v>
      </c>
      <c r="G478">
        <v>2.2999999999999998</v>
      </c>
      <c r="H478">
        <f>ROUND(Calls[[#This Row],[Satisfactory Rating]],0)</f>
        <v>2</v>
      </c>
      <c r="I478" t="str" cm="1">
        <f t="array" ref="I478">_xlfn.IFS(Calls[[#This Row],[Duration (Min)]]&lt;=30,"Under 30 mins",Calls[[#This Row],[Duration (Min)]]&lt;=60,"Under 1h",Calls[[#This Row],[Duration (Min)]]&lt;=120,"Under 2",TRUE,"More than 2h")</f>
        <v>Under 2</v>
      </c>
      <c r="J478">
        <f>IF(MONTH(Calls[[#This Row],[Date of Call]])&lt;=3,YEAR(Calls[[#This Row],[Date of Call]]),YEAR(Calls[[#This Row],[Date of Call]])+1)</f>
        <v>2026</v>
      </c>
      <c r="K478" t="str">
        <f>TEXT(Calls[[#This Row],[Date of Call]],"dddd")</f>
        <v>Sunday</v>
      </c>
      <c r="L478" t="str">
        <f>TEXT(Calls[[#This Row],[Date of Call]],"mmm")</f>
        <v>Apr</v>
      </c>
    </row>
    <row r="479" spans="1:12" x14ac:dyDescent="0.3">
      <c r="A479" t="s">
        <v>483</v>
      </c>
      <c r="B479" t="s">
        <v>1009</v>
      </c>
      <c r="C479">
        <v>118</v>
      </c>
      <c r="D479" t="s">
        <v>1026</v>
      </c>
      <c r="E479" t="s">
        <v>1128</v>
      </c>
      <c r="F479">
        <v>24</v>
      </c>
      <c r="G479">
        <v>3.5</v>
      </c>
      <c r="H479">
        <f>ROUND(Calls[[#This Row],[Satisfactory Rating]],0)</f>
        <v>4</v>
      </c>
      <c r="I479" t="str" cm="1">
        <f t="array" ref="I479">_xlfn.IFS(Calls[[#This Row],[Duration (Min)]]&lt;=30,"Under 30 mins",Calls[[#This Row],[Duration (Min)]]&lt;=60,"Under 1h",Calls[[#This Row],[Duration (Min)]]&lt;=120,"Under 2",TRUE,"More than 2h")</f>
        <v>Under 2</v>
      </c>
      <c r="J479">
        <f>IF(MONTH(Calls[[#This Row],[Date of Call]])&lt;=3,YEAR(Calls[[#This Row],[Date of Call]]),YEAR(Calls[[#This Row],[Date of Call]])+1)</f>
        <v>2026</v>
      </c>
      <c r="K479" t="str">
        <f>TEXT(Calls[[#This Row],[Date of Call]],"dddd")</f>
        <v>Sunday</v>
      </c>
      <c r="L479" t="str">
        <f>TEXT(Calls[[#This Row],[Date of Call]],"mmm")</f>
        <v>Apr</v>
      </c>
    </row>
    <row r="480" spans="1:12" x14ac:dyDescent="0.3">
      <c r="A480" t="s">
        <v>484</v>
      </c>
      <c r="B480" t="s">
        <v>1024</v>
      </c>
      <c r="C480">
        <v>89</v>
      </c>
      <c r="D480" t="s">
        <v>1032</v>
      </c>
      <c r="E480" t="s">
        <v>1128</v>
      </c>
      <c r="F480">
        <v>37</v>
      </c>
      <c r="G480">
        <v>4.7</v>
      </c>
      <c r="H480">
        <f>ROUND(Calls[[#This Row],[Satisfactory Rating]],0)</f>
        <v>5</v>
      </c>
      <c r="I480" t="str" cm="1">
        <f t="array" ref="I480">_xlfn.IFS(Calls[[#This Row],[Duration (Min)]]&lt;=30,"Under 30 mins",Calls[[#This Row],[Duration (Min)]]&lt;=60,"Under 1h",Calls[[#This Row],[Duration (Min)]]&lt;=120,"Under 2",TRUE,"More than 2h")</f>
        <v>Under 2</v>
      </c>
      <c r="J480">
        <f>IF(MONTH(Calls[[#This Row],[Date of Call]])&lt;=3,YEAR(Calls[[#This Row],[Date of Call]]),YEAR(Calls[[#This Row],[Date of Call]])+1)</f>
        <v>2026</v>
      </c>
      <c r="K480" t="str">
        <f>TEXT(Calls[[#This Row],[Date of Call]],"dddd")</f>
        <v>Sunday</v>
      </c>
      <c r="L480" t="str">
        <f>TEXT(Calls[[#This Row],[Date of Call]],"mmm")</f>
        <v>Apr</v>
      </c>
    </row>
    <row r="481" spans="1:12" x14ac:dyDescent="0.3">
      <c r="A481" t="s">
        <v>485</v>
      </c>
      <c r="B481" t="s">
        <v>1014</v>
      </c>
      <c r="C481">
        <v>17</v>
      </c>
      <c r="D481" t="s">
        <v>1028</v>
      </c>
      <c r="E481" t="s">
        <v>1128</v>
      </c>
      <c r="F481">
        <v>55</v>
      </c>
      <c r="G481">
        <v>1.9</v>
      </c>
      <c r="H481">
        <f>ROUND(Calls[[#This Row],[Satisfactory Rating]],0)</f>
        <v>2</v>
      </c>
      <c r="I481" t="str" cm="1">
        <f t="array" ref="I481">_xlfn.IFS(Calls[[#This Row],[Duration (Min)]]&lt;=30,"Under 30 mins",Calls[[#This Row],[Duration (Min)]]&lt;=60,"Under 1h",Calls[[#This Row],[Duration (Min)]]&lt;=120,"Under 2",TRUE,"More than 2h")</f>
        <v>Under 30 mins</v>
      </c>
      <c r="J481">
        <f>IF(MONTH(Calls[[#This Row],[Date of Call]])&lt;=3,YEAR(Calls[[#This Row],[Date of Call]]),YEAR(Calls[[#This Row],[Date of Call]])+1)</f>
        <v>2026</v>
      </c>
      <c r="K481" t="str">
        <f>TEXT(Calls[[#This Row],[Date of Call]],"dddd")</f>
        <v>Sunday</v>
      </c>
      <c r="L481" t="str">
        <f>TEXT(Calls[[#This Row],[Date of Call]],"mmm")</f>
        <v>Apr</v>
      </c>
    </row>
    <row r="482" spans="1:12" x14ac:dyDescent="0.3">
      <c r="A482" t="s">
        <v>486</v>
      </c>
      <c r="B482" t="s">
        <v>1018</v>
      </c>
      <c r="C482">
        <v>51</v>
      </c>
      <c r="D482" t="s">
        <v>1031</v>
      </c>
      <c r="E482" t="s">
        <v>1129</v>
      </c>
      <c r="F482">
        <v>42</v>
      </c>
      <c r="G482">
        <v>3.4</v>
      </c>
      <c r="H482">
        <f>ROUND(Calls[[#This Row],[Satisfactory Rating]],0)</f>
        <v>3</v>
      </c>
      <c r="I482" t="str" cm="1">
        <f t="array" ref="I482">_xlfn.IFS(Calls[[#This Row],[Duration (Min)]]&lt;=30,"Under 30 mins",Calls[[#This Row],[Duration (Min)]]&lt;=60,"Under 1h",Calls[[#This Row],[Duration (Min)]]&lt;=120,"Under 2",TRUE,"More than 2h")</f>
        <v>Under 1h</v>
      </c>
      <c r="J482">
        <f>IF(MONTH(Calls[[#This Row],[Date of Call]])&lt;=3,YEAR(Calls[[#This Row],[Date of Call]]),YEAR(Calls[[#This Row],[Date of Call]])+1)</f>
        <v>2026</v>
      </c>
      <c r="K482" t="str">
        <f>TEXT(Calls[[#This Row],[Date of Call]],"dddd")</f>
        <v>Monday</v>
      </c>
      <c r="L482" t="str">
        <f>TEXT(Calls[[#This Row],[Date of Call]],"mmm")</f>
        <v>Apr</v>
      </c>
    </row>
    <row r="483" spans="1:12" x14ac:dyDescent="0.3">
      <c r="A483" t="s">
        <v>487</v>
      </c>
      <c r="B483" t="s">
        <v>1021</v>
      </c>
      <c r="C483">
        <v>106</v>
      </c>
      <c r="D483" t="s">
        <v>1030</v>
      </c>
      <c r="E483" t="s">
        <v>1129</v>
      </c>
      <c r="F483">
        <v>43</v>
      </c>
      <c r="G483">
        <v>3.2</v>
      </c>
      <c r="H483">
        <f>ROUND(Calls[[#This Row],[Satisfactory Rating]],0)</f>
        <v>3</v>
      </c>
      <c r="I483" t="str" cm="1">
        <f t="array" ref="I483">_xlfn.IFS(Calls[[#This Row],[Duration (Min)]]&lt;=30,"Under 30 mins",Calls[[#This Row],[Duration (Min)]]&lt;=60,"Under 1h",Calls[[#This Row],[Duration (Min)]]&lt;=120,"Under 2",TRUE,"More than 2h")</f>
        <v>Under 2</v>
      </c>
      <c r="J483">
        <f>IF(MONTH(Calls[[#This Row],[Date of Call]])&lt;=3,YEAR(Calls[[#This Row],[Date of Call]]),YEAR(Calls[[#This Row],[Date of Call]])+1)</f>
        <v>2026</v>
      </c>
      <c r="K483" t="str">
        <f>TEXT(Calls[[#This Row],[Date of Call]],"dddd")</f>
        <v>Monday</v>
      </c>
      <c r="L483" t="str">
        <f>TEXT(Calls[[#This Row],[Date of Call]],"mmm")</f>
        <v>Apr</v>
      </c>
    </row>
    <row r="484" spans="1:12" x14ac:dyDescent="0.3">
      <c r="A484" t="s">
        <v>488</v>
      </c>
      <c r="B484" t="s">
        <v>1023</v>
      </c>
      <c r="C484">
        <v>139</v>
      </c>
      <c r="D484" t="s">
        <v>1030</v>
      </c>
      <c r="E484" t="s">
        <v>1129</v>
      </c>
      <c r="F484">
        <v>125</v>
      </c>
      <c r="G484">
        <v>4.3</v>
      </c>
      <c r="H484">
        <f>ROUND(Calls[[#This Row],[Satisfactory Rating]],0)</f>
        <v>4</v>
      </c>
      <c r="I484" t="str" cm="1">
        <f t="array" ref="I484">_xlfn.IFS(Calls[[#This Row],[Duration (Min)]]&lt;=30,"Under 30 mins",Calls[[#This Row],[Duration (Min)]]&lt;=60,"Under 1h",Calls[[#This Row],[Duration (Min)]]&lt;=120,"Under 2",TRUE,"More than 2h")</f>
        <v>More than 2h</v>
      </c>
      <c r="J484">
        <f>IF(MONTH(Calls[[#This Row],[Date of Call]])&lt;=3,YEAR(Calls[[#This Row],[Date of Call]]),YEAR(Calls[[#This Row],[Date of Call]])+1)</f>
        <v>2026</v>
      </c>
      <c r="K484" t="str">
        <f>TEXT(Calls[[#This Row],[Date of Call]],"dddd")</f>
        <v>Monday</v>
      </c>
      <c r="L484" t="str">
        <f>TEXT(Calls[[#This Row],[Date of Call]],"mmm")</f>
        <v>Apr</v>
      </c>
    </row>
    <row r="485" spans="1:12" x14ac:dyDescent="0.3">
      <c r="A485" t="s">
        <v>489</v>
      </c>
      <c r="B485" t="s">
        <v>1016</v>
      </c>
      <c r="C485">
        <v>140</v>
      </c>
      <c r="D485" t="s">
        <v>1031</v>
      </c>
      <c r="E485" t="s">
        <v>1129</v>
      </c>
      <c r="F485">
        <v>71</v>
      </c>
      <c r="G485">
        <v>1</v>
      </c>
      <c r="H485">
        <f>ROUND(Calls[[#This Row],[Satisfactory Rating]],0)</f>
        <v>1</v>
      </c>
      <c r="I485" t="str" cm="1">
        <f t="array" ref="I485">_xlfn.IFS(Calls[[#This Row],[Duration (Min)]]&lt;=30,"Under 30 mins",Calls[[#This Row],[Duration (Min)]]&lt;=60,"Under 1h",Calls[[#This Row],[Duration (Min)]]&lt;=120,"Under 2",TRUE,"More than 2h")</f>
        <v>More than 2h</v>
      </c>
      <c r="J485">
        <f>IF(MONTH(Calls[[#This Row],[Date of Call]])&lt;=3,YEAR(Calls[[#This Row],[Date of Call]]),YEAR(Calls[[#This Row],[Date of Call]])+1)</f>
        <v>2026</v>
      </c>
      <c r="K485" t="str">
        <f>TEXT(Calls[[#This Row],[Date of Call]],"dddd")</f>
        <v>Monday</v>
      </c>
      <c r="L485" t="str">
        <f>TEXT(Calls[[#This Row],[Date of Call]],"mmm")</f>
        <v>Apr</v>
      </c>
    </row>
    <row r="486" spans="1:12" x14ac:dyDescent="0.3">
      <c r="A486" t="s">
        <v>490</v>
      </c>
      <c r="B486" t="s">
        <v>1007</v>
      </c>
      <c r="C486">
        <v>134</v>
      </c>
      <c r="D486" t="s">
        <v>1027</v>
      </c>
      <c r="E486" t="s">
        <v>1129</v>
      </c>
      <c r="F486">
        <v>75</v>
      </c>
      <c r="G486">
        <v>3.8</v>
      </c>
      <c r="H486">
        <f>ROUND(Calls[[#This Row],[Satisfactory Rating]],0)</f>
        <v>4</v>
      </c>
      <c r="I486" t="str" cm="1">
        <f t="array" ref="I486">_xlfn.IFS(Calls[[#This Row],[Duration (Min)]]&lt;=30,"Under 30 mins",Calls[[#This Row],[Duration (Min)]]&lt;=60,"Under 1h",Calls[[#This Row],[Duration (Min)]]&lt;=120,"Under 2",TRUE,"More than 2h")</f>
        <v>More than 2h</v>
      </c>
      <c r="J486">
        <f>IF(MONTH(Calls[[#This Row],[Date of Call]])&lt;=3,YEAR(Calls[[#This Row],[Date of Call]]),YEAR(Calls[[#This Row],[Date of Call]])+1)</f>
        <v>2026</v>
      </c>
      <c r="K486" t="str">
        <f>TEXT(Calls[[#This Row],[Date of Call]],"dddd")</f>
        <v>Monday</v>
      </c>
      <c r="L486" t="str">
        <f>TEXT(Calls[[#This Row],[Date of Call]],"mmm")</f>
        <v>Apr</v>
      </c>
    </row>
    <row r="487" spans="1:12" x14ac:dyDescent="0.3">
      <c r="A487" t="s">
        <v>491</v>
      </c>
      <c r="B487" t="s">
        <v>1025</v>
      </c>
      <c r="C487">
        <v>97</v>
      </c>
      <c r="D487" t="s">
        <v>1031</v>
      </c>
      <c r="E487" t="s">
        <v>1130</v>
      </c>
      <c r="F487">
        <v>73</v>
      </c>
      <c r="G487">
        <v>4.0999999999999996</v>
      </c>
      <c r="H487">
        <f>ROUND(Calls[[#This Row],[Satisfactory Rating]],0)</f>
        <v>4</v>
      </c>
      <c r="I487" t="str" cm="1">
        <f t="array" ref="I487">_xlfn.IFS(Calls[[#This Row],[Duration (Min)]]&lt;=30,"Under 30 mins",Calls[[#This Row],[Duration (Min)]]&lt;=60,"Under 1h",Calls[[#This Row],[Duration (Min)]]&lt;=120,"Under 2",TRUE,"More than 2h")</f>
        <v>Under 2</v>
      </c>
      <c r="J487">
        <f>IF(MONTH(Calls[[#This Row],[Date of Call]])&lt;=3,YEAR(Calls[[#This Row],[Date of Call]]),YEAR(Calls[[#This Row],[Date of Call]])+1)</f>
        <v>2026</v>
      </c>
      <c r="K487" t="str">
        <f>TEXT(Calls[[#This Row],[Date of Call]],"dddd")</f>
        <v>Tuesday</v>
      </c>
      <c r="L487" t="str">
        <f>TEXT(Calls[[#This Row],[Date of Call]],"mmm")</f>
        <v>Apr</v>
      </c>
    </row>
    <row r="488" spans="1:12" x14ac:dyDescent="0.3">
      <c r="A488" t="s">
        <v>492</v>
      </c>
      <c r="B488" t="s">
        <v>1018</v>
      </c>
      <c r="C488">
        <v>119</v>
      </c>
      <c r="D488" t="s">
        <v>1029</v>
      </c>
      <c r="E488" t="s">
        <v>1130</v>
      </c>
      <c r="F488">
        <v>35</v>
      </c>
      <c r="G488">
        <v>2</v>
      </c>
      <c r="H488">
        <f>ROUND(Calls[[#This Row],[Satisfactory Rating]],0)</f>
        <v>2</v>
      </c>
      <c r="I488" t="str" cm="1">
        <f t="array" ref="I488">_xlfn.IFS(Calls[[#This Row],[Duration (Min)]]&lt;=30,"Under 30 mins",Calls[[#This Row],[Duration (Min)]]&lt;=60,"Under 1h",Calls[[#This Row],[Duration (Min)]]&lt;=120,"Under 2",TRUE,"More than 2h")</f>
        <v>Under 2</v>
      </c>
      <c r="J488">
        <f>IF(MONTH(Calls[[#This Row],[Date of Call]])&lt;=3,YEAR(Calls[[#This Row],[Date of Call]]),YEAR(Calls[[#This Row],[Date of Call]])+1)</f>
        <v>2026</v>
      </c>
      <c r="K488" t="str">
        <f>TEXT(Calls[[#This Row],[Date of Call]],"dddd")</f>
        <v>Tuesday</v>
      </c>
      <c r="L488" t="str">
        <f>TEXT(Calls[[#This Row],[Date of Call]],"mmm")</f>
        <v>Apr</v>
      </c>
    </row>
    <row r="489" spans="1:12" x14ac:dyDescent="0.3">
      <c r="A489" t="s">
        <v>493</v>
      </c>
      <c r="B489" t="s">
        <v>1011</v>
      </c>
      <c r="C489">
        <v>17</v>
      </c>
      <c r="D489" t="s">
        <v>1029</v>
      </c>
      <c r="E489" t="s">
        <v>1130</v>
      </c>
      <c r="F489">
        <v>39</v>
      </c>
      <c r="G489">
        <v>4.7</v>
      </c>
      <c r="H489">
        <f>ROUND(Calls[[#This Row],[Satisfactory Rating]],0)</f>
        <v>5</v>
      </c>
      <c r="I489" t="str" cm="1">
        <f t="array" ref="I489">_xlfn.IFS(Calls[[#This Row],[Duration (Min)]]&lt;=30,"Under 30 mins",Calls[[#This Row],[Duration (Min)]]&lt;=60,"Under 1h",Calls[[#This Row],[Duration (Min)]]&lt;=120,"Under 2",TRUE,"More than 2h")</f>
        <v>Under 30 mins</v>
      </c>
      <c r="J489">
        <f>IF(MONTH(Calls[[#This Row],[Date of Call]])&lt;=3,YEAR(Calls[[#This Row],[Date of Call]]),YEAR(Calls[[#This Row],[Date of Call]])+1)</f>
        <v>2026</v>
      </c>
      <c r="K489" t="str">
        <f>TEXT(Calls[[#This Row],[Date of Call]],"dddd")</f>
        <v>Tuesday</v>
      </c>
      <c r="L489" t="str">
        <f>TEXT(Calls[[#This Row],[Date of Call]],"mmm")</f>
        <v>Apr</v>
      </c>
    </row>
    <row r="490" spans="1:12" x14ac:dyDescent="0.3">
      <c r="A490" t="s">
        <v>494</v>
      </c>
      <c r="B490" t="s">
        <v>1007</v>
      </c>
      <c r="C490">
        <v>105</v>
      </c>
      <c r="D490" t="s">
        <v>1031</v>
      </c>
      <c r="E490" t="s">
        <v>1130</v>
      </c>
      <c r="F490">
        <v>95</v>
      </c>
      <c r="G490">
        <v>2.8</v>
      </c>
      <c r="H490">
        <f>ROUND(Calls[[#This Row],[Satisfactory Rating]],0)</f>
        <v>3</v>
      </c>
      <c r="I490" t="str" cm="1">
        <f t="array" ref="I490">_xlfn.IFS(Calls[[#This Row],[Duration (Min)]]&lt;=30,"Under 30 mins",Calls[[#This Row],[Duration (Min)]]&lt;=60,"Under 1h",Calls[[#This Row],[Duration (Min)]]&lt;=120,"Under 2",TRUE,"More than 2h")</f>
        <v>Under 2</v>
      </c>
      <c r="J490">
        <f>IF(MONTH(Calls[[#This Row],[Date of Call]])&lt;=3,YEAR(Calls[[#This Row],[Date of Call]]),YEAR(Calls[[#This Row],[Date of Call]])+1)</f>
        <v>2026</v>
      </c>
      <c r="K490" t="str">
        <f>TEXT(Calls[[#This Row],[Date of Call]],"dddd")</f>
        <v>Tuesday</v>
      </c>
      <c r="L490" t="str">
        <f>TEXT(Calls[[#This Row],[Date of Call]],"mmm")</f>
        <v>Apr</v>
      </c>
    </row>
    <row r="491" spans="1:12" x14ac:dyDescent="0.3">
      <c r="A491" t="s">
        <v>495</v>
      </c>
      <c r="B491" t="s">
        <v>1011</v>
      </c>
      <c r="C491">
        <v>38</v>
      </c>
      <c r="D491" t="s">
        <v>1031</v>
      </c>
      <c r="E491" t="s">
        <v>1130</v>
      </c>
      <c r="F491">
        <v>64</v>
      </c>
      <c r="G491">
        <v>1.3</v>
      </c>
      <c r="H491">
        <f>ROUND(Calls[[#This Row],[Satisfactory Rating]],0)</f>
        <v>1</v>
      </c>
      <c r="I491" t="str" cm="1">
        <f t="array" ref="I491">_xlfn.IFS(Calls[[#This Row],[Duration (Min)]]&lt;=30,"Under 30 mins",Calls[[#This Row],[Duration (Min)]]&lt;=60,"Under 1h",Calls[[#This Row],[Duration (Min)]]&lt;=120,"Under 2",TRUE,"More than 2h")</f>
        <v>Under 1h</v>
      </c>
      <c r="J491">
        <f>IF(MONTH(Calls[[#This Row],[Date of Call]])&lt;=3,YEAR(Calls[[#This Row],[Date of Call]]),YEAR(Calls[[#This Row],[Date of Call]])+1)</f>
        <v>2026</v>
      </c>
      <c r="K491" t="str">
        <f>TEXT(Calls[[#This Row],[Date of Call]],"dddd")</f>
        <v>Tuesday</v>
      </c>
      <c r="L491" t="str">
        <f>TEXT(Calls[[#This Row],[Date of Call]],"mmm")</f>
        <v>Apr</v>
      </c>
    </row>
    <row r="492" spans="1:12" x14ac:dyDescent="0.3">
      <c r="A492" t="s">
        <v>496</v>
      </c>
      <c r="B492" t="s">
        <v>1010</v>
      </c>
      <c r="C492">
        <v>91</v>
      </c>
      <c r="D492" t="s">
        <v>1032</v>
      </c>
      <c r="E492" t="s">
        <v>1131</v>
      </c>
      <c r="F492">
        <v>64</v>
      </c>
      <c r="G492">
        <v>4.0999999999999996</v>
      </c>
      <c r="H492">
        <f>ROUND(Calls[[#This Row],[Satisfactory Rating]],0)</f>
        <v>4</v>
      </c>
      <c r="I492" t="str" cm="1">
        <f t="array" ref="I492">_xlfn.IFS(Calls[[#This Row],[Duration (Min)]]&lt;=30,"Under 30 mins",Calls[[#This Row],[Duration (Min)]]&lt;=60,"Under 1h",Calls[[#This Row],[Duration (Min)]]&lt;=120,"Under 2",TRUE,"More than 2h")</f>
        <v>Under 2</v>
      </c>
      <c r="J492">
        <f>IF(MONTH(Calls[[#This Row],[Date of Call]])&lt;=3,YEAR(Calls[[#This Row],[Date of Call]]),YEAR(Calls[[#This Row],[Date of Call]])+1)</f>
        <v>2026</v>
      </c>
      <c r="K492" t="str">
        <f>TEXT(Calls[[#This Row],[Date of Call]],"dddd")</f>
        <v>Wednesday</v>
      </c>
      <c r="L492" t="str">
        <f>TEXT(Calls[[#This Row],[Date of Call]],"mmm")</f>
        <v>Apr</v>
      </c>
    </row>
    <row r="493" spans="1:12" x14ac:dyDescent="0.3">
      <c r="A493" t="s">
        <v>497</v>
      </c>
      <c r="B493" t="s">
        <v>1009</v>
      </c>
      <c r="C493">
        <v>49</v>
      </c>
      <c r="D493" t="s">
        <v>1031</v>
      </c>
      <c r="E493" t="s">
        <v>1131</v>
      </c>
      <c r="F493">
        <v>93</v>
      </c>
      <c r="G493">
        <v>1.7</v>
      </c>
      <c r="H493">
        <f>ROUND(Calls[[#This Row],[Satisfactory Rating]],0)</f>
        <v>2</v>
      </c>
      <c r="I493" t="str" cm="1">
        <f t="array" ref="I493">_xlfn.IFS(Calls[[#This Row],[Duration (Min)]]&lt;=30,"Under 30 mins",Calls[[#This Row],[Duration (Min)]]&lt;=60,"Under 1h",Calls[[#This Row],[Duration (Min)]]&lt;=120,"Under 2",TRUE,"More than 2h")</f>
        <v>Under 1h</v>
      </c>
      <c r="J493">
        <f>IF(MONTH(Calls[[#This Row],[Date of Call]])&lt;=3,YEAR(Calls[[#This Row],[Date of Call]]),YEAR(Calls[[#This Row],[Date of Call]])+1)</f>
        <v>2026</v>
      </c>
      <c r="K493" t="str">
        <f>TEXT(Calls[[#This Row],[Date of Call]],"dddd")</f>
        <v>Wednesday</v>
      </c>
      <c r="L493" t="str">
        <f>TEXT(Calls[[#This Row],[Date of Call]],"mmm")</f>
        <v>Apr</v>
      </c>
    </row>
    <row r="494" spans="1:12" x14ac:dyDescent="0.3">
      <c r="A494" t="s">
        <v>498</v>
      </c>
      <c r="B494" t="s">
        <v>1021</v>
      </c>
      <c r="C494">
        <v>126</v>
      </c>
      <c r="D494" t="s">
        <v>1029</v>
      </c>
      <c r="E494" t="s">
        <v>1131</v>
      </c>
      <c r="F494">
        <v>79</v>
      </c>
      <c r="G494">
        <v>1.8</v>
      </c>
      <c r="H494">
        <f>ROUND(Calls[[#This Row],[Satisfactory Rating]],0)</f>
        <v>2</v>
      </c>
      <c r="I494" t="str" cm="1">
        <f t="array" ref="I494">_xlfn.IFS(Calls[[#This Row],[Duration (Min)]]&lt;=30,"Under 30 mins",Calls[[#This Row],[Duration (Min)]]&lt;=60,"Under 1h",Calls[[#This Row],[Duration (Min)]]&lt;=120,"Under 2",TRUE,"More than 2h")</f>
        <v>More than 2h</v>
      </c>
      <c r="J494">
        <f>IF(MONTH(Calls[[#This Row],[Date of Call]])&lt;=3,YEAR(Calls[[#This Row],[Date of Call]]),YEAR(Calls[[#This Row],[Date of Call]])+1)</f>
        <v>2026</v>
      </c>
      <c r="K494" t="str">
        <f>TEXT(Calls[[#This Row],[Date of Call]],"dddd")</f>
        <v>Wednesday</v>
      </c>
      <c r="L494" t="str">
        <f>TEXT(Calls[[#This Row],[Date of Call]],"mmm")</f>
        <v>Apr</v>
      </c>
    </row>
    <row r="495" spans="1:12" x14ac:dyDescent="0.3">
      <c r="A495" t="s">
        <v>499</v>
      </c>
      <c r="B495" t="s">
        <v>1010</v>
      </c>
      <c r="C495">
        <v>136</v>
      </c>
      <c r="D495" t="s">
        <v>1030</v>
      </c>
      <c r="E495" t="s">
        <v>1131</v>
      </c>
      <c r="F495">
        <v>146</v>
      </c>
      <c r="G495">
        <v>1.6</v>
      </c>
      <c r="H495">
        <f>ROUND(Calls[[#This Row],[Satisfactory Rating]],0)</f>
        <v>2</v>
      </c>
      <c r="I495" t="str" cm="1">
        <f t="array" ref="I495">_xlfn.IFS(Calls[[#This Row],[Duration (Min)]]&lt;=30,"Under 30 mins",Calls[[#This Row],[Duration (Min)]]&lt;=60,"Under 1h",Calls[[#This Row],[Duration (Min)]]&lt;=120,"Under 2",TRUE,"More than 2h")</f>
        <v>More than 2h</v>
      </c>
      <c r="J495">
        <f>IF(MONTH(Calls[[#This Row],[Date of Call]])&lt;=3,YEAR(Calls[[#This Row],[Date of Call]]),YEAR(Calls[[#This Row],[Date of Call]])+1)</f>
        <v>2026</v>
      </c>
      <c r="K495" t="str">
        <f>TEXT(Calls[[#This Row],[Date of Call]],"dddd")</f>
        <v>Wednesday</v>
      </c>
      <c r="L495" t="str">
        <f>TEXT(Calls[[#This Row],[Date of Call]],"mmm")</f>
        <v>Apr</v>
      </c>
    </row>
    <row r="496" spans="1:12" x14ac:dyDescent="0.3">
      <c r="A496" t="s">
        <v>500</v>
      </c>
      <c r="B496" t="s">
        <v>1006</v>
      </c>
      <c r="C496">
        <v>119</v>
      </c>
      <c r="D496" t="s">
        <v>1029</v>
      </c>
      <c r="E496" t="s">
        <v>1131</v>
      </c>
      <c r="F496">
        <v>102</v>
      </c>
      <c r="G496">
        <v>3.1</v>
      </c>
      <c r="H496">
        <f>ROUND(Calls[[#This Row],[Satisfactory Rating]],0)</f>
        <v>3</v>
      </c>
      <c r="I496" t="str" cm="1">
        <f t="array" ref="I496">_xlfn.IFS(Calls[[#This Row],[Duration (Min)]]&lt;=30,"Under 30 mins",Calls[[#This Row],[Duration (Min)]]&lt;=60,"Under 1h",Calls[[#This Row],[Duration (Min)]]&lt;=120,"Under 2",TRUE,"More than 2h")</f>
        <v>Under 2</v>
      </c>
      <c r="J496">
        <f>IF(MONTH(Calls[[#This Row],[Date of Call]])&lt;=3,YEAR(Calls[[#This Row],[Date of Call]]),YEAR(Calls[[#This Row],[Date of Call]])+1)</f>
        <v>2026</v>
      </c>
      <c r="K496" t="str">
        <f>TEXT(Calls[[#This Row],[Date of Call]],"dddd")</f>
        <v>Wednesday</v>
      </c>
      <c r="L496" t="str">
        <f>TEXT(Calls[[#This Row],[Date of Call]],"mmm")</f>
        <v>Apr</v>
      </c>
    </row>
    <row r="497" spans="1:12" x14ac:dyDescent="0.3">
      <c r="A497" t="s">
        <v>501</v>
      </c>
      <c r="B497" t="s">
        <v>1013</v>
      </c>
      <c r="C497">
        <v>74</v>
      </c>
      <c r="D497" t="s">
        <v>1026</v>
      </c>
      <c r="E497" t="s">
        <v>1132</v>
      </c>
      <c r="F497">
        <v>75</v>
      </c>
      <c r="G497">
        <v>4.8</v>
      </c>
      <c r="H497">
        <f>ROUND(Calls[[#This Row],[Satisfactory Rating]],0)</f>
        <v>5</v>
      </c>
      <c r="I497" t="str" cm="1">
        <f t="array" ref="I497">_xlfn.IFS(Calls[[#This Row],[Duration (Min)]]&lt;=30,"Under 30 mins",Calls[[#This Row],[Duration (Min)]]&lt;=60,"Under 1h",Calls[[#This Row],[Duration (Min)]]&lt;=120,"Under 2",TRUE,"More than 2h")</f>
        <v>Under 2</v>
      </c>
      <c r="J497">
        <f>IF(MONTH(Calls[[#This Row],[Date of Call]])&lt;=3,YEAR(Calls[[#This Row],[Date of Call]]),YEAR(Calls[[#This Row],[Date of Call]])+1)</f>
        <v>2026</v>
      </c>
      <c r="K497" t="str">
        <f>TEXT(Calls[[#This Row],[Date of Call]],"dddd")</f>
        <v>Thursday</v>
      </c>
      <c r="L497" t="str">
        <f>TEXT(Calls[[#This Row],[Date of Call]],"mmm")</f>
        <v>Apr</v>
      </c>
    </row>
    <row r="498" spans="1:12" x14ac:dyDescent="0.3">
      <c r="A498" t="s">
        <v>502</v>
      </c>
      <c r="B498" t="s">
        <v>1008</v>
      </c>
      <c r="C498">
        <v>33</v>
      </c>
      <c r="D498" t="s">
        <v>1031</v>
      </c>
      <c r="E498" t="s">
        <v>1132</v>
      </c>
      <c r="F498">
        <v>138</v>
      </c>
      <c r="G498">
        <v>4.9000000000000004</v>
      </c>
      <c r="H498">
        <f>ROUND(Calls[[#This Row],[Satisfactory Rating]],0)</f>
        <v>5</v>
      </c>
      <c r="I498" t="str" cm="1">
        <f t="array" ref="I498">_xlfn.IFS(Calls[[#This Row],[Duration (Min)]]&lt;=30,"Under 30 mins",Calls[[#This Row],[Duration (Min)]]&lt;=60,"Under 1h",Calls[[#This Row],[Duration (Min)]]&lt;=120,"Under 2",TRUE,"More than 2h")</f>
        <v>Under 1h</v>
      </c>
      <c r="J498">
        <f>IF(MONTH(Calls[[#This Row],[Date of Call]])&lt;=3,YEAR(Calls[[#This Row],[Date of Call]]),YEAR(Calls[[#This Row],[Date of Call]])+1)</f>
        <v>2026</v>
      </c>
      <c r="K498" t="str">
        <f>TEXT(Calls[[#This Row],[Date of Call]],"dddd")</f>
        <v>Thursday</v>
      </c>
      <c r="L498" t="str">
        <f>TEXT(Calls[[#This Row],[Date of Call]],"mmm")</f>
        <v>Apr</v>
      </c>
    </row>
    <row r="499" spans="1:12" x14ac:dyDescent="0.3">
      <c r="A499" t="s">
        <v>503</v>
      </c>
      <c r="B499" t="s">
        <v>1020</v>
      </c>
      <c r="C499">
        <v>15</v>
      </c>
      <c r="D499" t="s">
        <v>1030</v>
      </c>
      <c r="E499" t="s">
        <v>1132</v>
      </c>
      <c r="F499">
        <v>59</v>
      </c>
      <c r="G499">
        <v>4.4000000000000004</v>
      </c>
      <c r="H499">
        <f>ROUND(Calls[[#This Row],[Satisfactory Rating]],0)</f>
        <v>4</v>
      </c>
      <c r="I499" t="str" cm="1">
        <f t="array" ref="I499">_xlfn.IFS(Calls[[#This Row],[Duration (Min)]]&lt;=30,"Under 30 mins",Calls[[#This Row],[Duration (Min)]]&lt;=60,"Under 1h",Calls[[#This Row],[Duration (Min)]]&lt;=120,"Under 2",TRUE,"More than 2h")</f>
        <v>Under 30 mins</v>
      </c>
      <c r="J499">
        <f>IF(MONTH(Calls[[#This Row],[Date of Call]])&lt;=3,YEAR(Calls[[#This Row],[Date of Call]]),YEAR(Calls[[#This Row],[Date of Call]])+1)</f>
        <v>2026</v>
      </c>
      <c r="K499" t="str">
        <f>TEXT(Calls[[#This Row],[Date of Call]],"dddd")</f>
        <v>Thursday</v>
      </c>
      <c r="L499" t="str">
        <f>TEXT(Calls[[#This Row],[Date of Call]],"mmm")</f>
        <v>Apr</v>
      </c>
    </row>
    <row r="500" spans="1:12" x14ac:dyDescent="0.3">
      <c r="A500" t="s">
        <v>504</v>
      </c>
      <c r="B500" t="s">
        <v>1022</v>
      </c>
      <c r="C500">
        <v>74</v>
      </c>
      <c r="D500" t="s">
        <v>1026</v>
      </c>
      <c r="E500" t="s">
        <v>1132</v>
      </c>
      <c r="F500">
        <v>26</v>
      </c>
      <c r="G500">
        <v>1.7</v>
      </c>
      <c r="H500">
        <f>ROUND(Calls[[#This Row],[Satisfactory Rating]],0)</f>
        <v>2</v>
      </c>
      <c r="I500" t="str" cm="1">
        <f t="array" ref="I500">_xlfn.IFS(Calls[[#This Row],[Duration (Min)]]&lt;=30,"Under 30 mins",Calls[[#This Row],[Duration (Min)]]&lt;=60,"Under 1h",Calls[[#This Row],[Duration (Min)]]&lt;=120,"Under 2",TRUE,"More than 2h")</f>
        <v>Under 2</v>
      </c>
      <c r="J500">
        <f>IF(MONTH(Calls[[#This Row],[Date of Call]])&lt;=3,YEAR(Calls[[#This Row],[Date of Call]]),YEAR(Calls[[#This Row],[Date of Call]])+1)</f>
        <v>2026</v>
      </c>
      <c r="K500" t="str">
        <f>TEXT(Calls[[#This Row],[Date of Call]],"dddd")</f>
        <v>Thursday</v>
      </c>
      <c r="L500" t="str">
        <f>TEXT(Calls[[#This Row],[Date of Call]],"mmm")</f>
        <v>Apr</v>
      </c>
    </row>
    <row r="501" spans="1:12" x14ac:dyDescent="0.3">
      <c r="A501" t="s">
        <v>505</v>
      </c>
      <c r="B501" t="s">
        <v>1017</v>
      </c>
      <c r="C501">
        <v>145</v>
      </c>
      <c r="D501" t="s">
        <v>1027</v>
      </c>
      <c r="E501" t="s">
        <v>1132</v>
      </c>
      <c r="F501">
        <v>96</v>
      </c>
      <c r="G501">
        <v>1.2</v>
      </c>
      <c r="H501">
        <f>ROUND(Calls[[#This Row],[Satisfactory Rating]],0)</f>
        <v>1</v>
      </c>
      <c r="I501" t="str" cm="1">
        <f t="array" ref="I501">_xlfn.IFS(Calls[[#This Row],[Duration (Min)]]&lt;=30,"Under 30 mins",Calls[[#This Row],[Duration (Min)]]&lt;=60,"Under 1h",Calls[[#This Row],[Duration (Min)]]&lt;=120,"Under 2",TRUE,"More than 2h")</f>
        <v>More than 2h</v>
      </c>
      <c r="J501">
        <f>IF(MONTH(Calls[[#This Row],[Date of Call]])&lt;=3,YEAR(Calls[[#This Row],[Date of Call]]),YEAR(Calls[[#This Row],[Date of Call]])+1)</f>
        <v>2026</v>
      </c>
      <c r="K501" t="str">
        <f>TEXT(Calls[[#This Row],[Date of Call]],"dddd")</f>
        <v>Thursday</v>
      </c>
      <c r="L501" t="str">
        <f>TEXT(Calls[[#This Row],[Date of Call]],"mmm")</f>
        <v>Apr</v>
      </c>
    </row>
    <row r="502" spans="1:12" x14ac:dyDescent="0.3">
      <c r="A502" t="s">
        <v>506</v>
      </c>
      <c r="B502" t="s">
        <v>1017</v>
      </c>
      <c r="C502">
        <v>125</v>
      </c>
      <c r="D502" t="s">
        <v>1030</v>
      </c>
      <c r="E502" t="s">
        <v>1133</v>
      </c>
      <c r="F502">
        <v>107</v>
      </c>
      <c r="G502">
        <v>1.3</v>
      </c>
      <c r="H502">
        <f>ROUND(Calls[[#This Row],[Satisfactory Rating]],0)</f>
        <v>1</v>
      </c>
      <c r="I502" t="str" cm="1">
        <f t="array" ref="I502">_xlfn.IFS(Calls[[#This Row],[Duration (Min)]]&lt;=30,"Under 30 mins",Calls[[#This Row],[Duration (Min)]]&lt;=60,"Under 1h",Calls[[#This Row],[Duration (Min)]]&lt;=120,"Under 2",TRUE,"More than 2h")</f>
        <v>More than 2h</v>
      </c>
      <c r="J502">
        <f>IF(MONTH(Calls[[#This Row],[Date of Call]])&lt;=3,YEAR(Calls[[#This Row],[Date of Call]]),YEAR(Calls[[#This Row],[Date of Call]])+1)</f>
        <v>2026</v>
      </c>
      <c r="K502" t="str">
        <f>TEXT(Calls[[#This Row],[Date of Call]],"dddd")</f>
        <v>Friday</v>
      </c>
      <c r="L502" t="str">
        <f>TEXT(Calls[[#This Row],[Date of Call]],"mmm")</f>
        <v>Apr</v>
      </c>
    </row>
    <row r="503" spans="1:12" x14ac:dyDescent="0.3">
      <c r="A503" t="s">
        <v>507</v>
      </c>
      <c r="B503" t="s">
        <v>1010</v>
      </c>
      <c r="C503">
        <v>36</v>
      </c>
      <c r="D503" t="s">
        <v>1027</v>
      </c>
      <c r="E503" t="s">
        <v>1133</v>
      </c>
      <c r="F503">
        <v>150</v>
      </c>
      <c r="G503">
        <v>1</v>
      </c>
      <c r="H503">
        <f>ROUND(Calls[[#This Row],[Satisfactory Rating]],0)</f>
        <v>1</v>
      </c>
      <c r="I503" t="str" cm="1">
        <f t="array" ref="I503">_xlfn.IFS(Calls[[#This Row],[Duration (Min)]]&lt;=30,"Under 30 mins",Calls[[#This Row],[Duration (Min)]]&lt;=60,"Under 1h",Calls[[#This Row],[Duration (Min)]]&lt;=120,"Under 2",TRUE,"More than 2h")</f>
        <v>Under 1h</v>
      </c>
      <c r="J503">
        <f>IF(MONTH(Calls[[#This Row],[Date of Call]])&lt;=3,YEAR(Calls[[#This Row],[Date of Call]]),YEAR(Calls[[#This Row],[Date of Call]])+1)</f>
        <v>2026</v>
      </c>
      <c r="K503" t="str">
        <f>TEXT(Calls[[#This Row],[Date of Call]],"dddd")</f>
        <v>Friday</v>
      </c>
      <c r="L503" t="str">
        <f>TEXT(Calls[[#This Row],[Date of Call]],"mmm")</f>
        <v>Apr</v>
      </c>
    </row>
    <row r="504" spans="1:12" x14ac:dyDescent="0.3">
      <c r="A504" t="s">
        <v>508</v>
      </c>
      <c r="B504" t="s">
        <v>1014</v>
      </c>
      <c r="C504">
        <v>77</v>
      </c>
      <c r="D504" t="s">
        <v>1030</v>
      </c>
      <c r="E504" t="s">
        <v>1133</v>
      </c>
      <c r="F504">
        <v>38</v>
      </c>
      <c r="G504">
        <v>1.1000000000000001</v>
      </c>
      <c r="H504">
        <f>ROUND(Calls[[#This Row],[Satisfactory Rating]],0)</f>
        <v>1</v>
      </c>
      <c r="I504" t="str" cm="1">
        <f t="array" ref="I504">_xlfn.IFS(Calls[[#This Row],[Duration (Min)]]&lt;=30,"Under 30 mins",Calls[[#This Row],[Duration (Min)]]&lt;=60,"Under 1h",Calls[[#This Row],[Duration (Min)]]&lt;=120,"Under 2",TRUE,"More than 2h")</f>
        <v>Under 2</v>
      </c>
      <c r="J504">
        <f>IF(MONTH(Calls[[#This Row],[Date of Call]])&lt;=3,YEAR(Calls[[#This Row],[Date of Call]]),YEAR(Calls[[#This Row],[Date of Call]])+1)</f>
        <v>2026</v>
      </c>
      <c r="K504" t="str">
        <f>TEXT(Calls[[#This Row],[Date of Call]],"dddd")</f>
        <v>Friday</v>
      </c>
      <c r="L504" t="str">
        <f>TEXT(Calls[[#This Row],[Date of Call]],"mmm")</f>
        <v>Apr</v>
      </c>
    </row>
    <row r="505" spans="1:12" x14ac:dyDescent="0.3">
      <c r="A505" t="s">
        <v>509</v>
      </c>
      <c r="B505" t="s">
        <v>1007</v>
      </c>
      <c r="C505">
        <v>83</v>
      </c>
      <c r="D505" t="s">
        <v>1032</v>
      </c>
      <c r="E505" t="s">
        <v>1133</v>
      </c>
      <c r="F505">
        <v>117</v>
      </c>
      <c r="G505">
        <v>4.2</v>
      </c>
      <c r="H505">
        <f>ROUND(Calls[[#This Row],[Satisfactory Rating]],0)</f>
        <v>4</v>
      </c>
      <c r="I505" t="str" cm="1">
        <f t="array" ref="I505">_xlfn.IFS(Calls[[#This Row],[Duration (Min)]]&lt;=30,"Under 30 mins",Calls[[#This Row],[Duration (Min)]]&lt;=60,"Under 1h",Calls[[#This Row],[Duration (Min)]]&lt;=120,"Under 2",TRUE,"More than 2h")</f>
        <v>Under 2</v>
      </c>
      <c r="J505">
        <f>IF(MONTH(Calls[[#This Row],[Date of Call]])&lt;=3,YEAR(Calls[[#This Row],[Date of Call]]),YEAR(Calls[[#This Row],[Date of Call]])+1)</f>
        <v>2026</v>
      </c>
      <c r="K505" t="str">
        <f>TEXT(Calls[[#This Row],[Date of Call]],"dddd")</f>
        <v>Friday</v>
      </c>
      <c r="L505" t="str">
        <f>TEXT(Calls[[#This Row],[Date of Call]],"mmm")</f>
        <v>Apr</v>
      </c>
    </row>
    <row r="506" spans="1:12" x14ac:dyDescent="0.3">
      <c r="A506" t="s">
        <v>510</v>
      </c>
      <c r="B506" t="s">
        <v>1010</v>
      </c>
      <c r="C506">
        <v>82</v>
      </c>
      <c r="D506" t="s">
        <v>1031</v>
      </c>
      <c r="E506" t="s">
        <v>1133</v>
      </c>
      <c r="F506">
        <v>75</v>
      </c>
      <c r="G506">
        <v>2.2999999999999998</v>
      </c>
      <c r="H506">
        <f>ROUND(Calls[[#This Row],[Satisfactory Rating]],0)</f>
        <v>2</v>
      </c>
      <c r="I506" t="str" cm="1">
        <f t="array" ref="I506">_xlfn.IFS(Calls[[#This Row],[Duration (Min)]]&lt;=30,"Under 30 mins",Calls[[#This Row],[Duration (Min)]]&lt;=60,"Under 1h",Calls[[#This Row],[Duration (Min)]]&lt;=120,"Under 2",TRUE,"More than 2h")</f>
        <v>Under 2</v>
      </c>
      <c r="J506">
        <f>IF(MONTH(Calls[[#This Row],[Date of Call]])&lt;=3,YEAR(Calls[[#This Row],[Date of Call]]),YEAR(Calls[[#This Row],[Date of Call]])+1)</f>
        <v>2026</v>
      </c>
      <c r="K506" t="str">
        <f>TEXT(Calls[[#This Row],[Date of Call]],"dddd")</f>
        <v>Friday</v>
      </c>
      <c r="L506" t="str">
        <f>TEXT(Calls[[#This Row],[Date of Call]],"mmm")</f>
        <v>Apr</v>
      </c>
    </row>
    <row r="507" spans="1:12" x14ac:dyDescent="0.3">
      <c r="A507" t="s">
        <v>511</v>
      </c>
      <c r="B507" t="s">
        <v>1024</v>
      </c>
      <c r="C507">
        <v>113</v>
      </c>
      <c r="D507" t="s">
        <v>1027</v>
      </c>
      <c r="E507" t="s">
        <v>1134</v>
      </c>
      <c r="F507">
        <v>70</v>
      </c>
      <c r="G507">
        <v>4.0999999999999996</v>
      </c>
      <c r="H507">
        <f>ROUND(Calls[[#This Row],[Satisfactory Rating]],0)</f>
        <v>4</v>
      </c>
      <c r="I507" t="str" cm="1">
        <f t="array" ref="I507">_xlfn.IFS(Calls[[#This Row],[Duration (Min)]]&lt;=30,"Under 30 mins",Calls[[#This Row],[Duration (Min)]]&lt;=60,"Under 1h",Calls[[#This Row],[Duration (Min)]]&lt;=120,"Under 2",TRUE,"More than 2h")</f>
        <v>Under 2</v>
      </c>
      <c r="J507">
        <f>IF(MONTH(Calls[[#This Row],[Date of Call]])&lt;=3,YEAR(Calls[[#This Row],[Date of Call]]),YEAR(Calls[[#This Row],[Date of Call]])+1)</f>
        <v>2026</v>
      </c>
      <c r="K507" t="str">
        <f>TEXT(Calls[[#This Row],[Date of Call]],"dddd")</f>
        <v>Saturday</v>
      </c>
      <c r="L507" t="str">
        <f>TEXT(Calls[[#This Row],[Date of Call]],"mmm")</f>
        <v>Apr</v>
      </c>
    </row>
    <row r="508" spans="1:12" x14ac:dyDescent="0.3">
      <c r="A508" t="s">
        <v>512</v>
      </c>
      <c r="B508" t="s">
        <v>1019</v>
      </c>
      <c r="C508">
        <v>123</v>
      </c>
      <c r="D508" t="s">
        <v>1029</v>
      </c>
      <c r="E508" t="s">
        <v>1134</v>
      </c>
      <c r="F508">
        <v>31</v>
      </c>
      <c r="G508">
        <v>4.8</v>
      </c>
      <c r="H508">
        <f>ROUND(Calls[[#This Row],[Satisfactory Rating]],0)</f>
        <v>5</v>
      </c>
      <c r="I508" t="str" cm="1">
        <f t="array" ref="I508">_xlfn.IFS(Calls[[#This Row],[Duration (Min)]]&lt;=30,"Under 30 mins",Calls[[#This Row],[Duration (Min)]]&lt;=60,"Under 1h",Calls[[#This Row],[Duration (Min)]]&lt;=120,"Under 2",TRUE,"More than 2h")</f>
        <v>More than 2h</v>
      </c>
      <c r="J508">
        <f>IF(MONTH(Calls[[#This Row],[Date of Call]])&lt;=3,YEAR(Calls[[#This Row],[Date of Call]]),YEAR(Calls[[#This Row],[Date of Call]])+1)</f>
        <v>2026</v>
      </c>
      <c r="K508" t="str">
        <f>TEXT(Calls[[#This Row],[Date of Call]],"dddd")</f>
        <v>Saturday</v>
      </c>
      <c r="L508" t="str">
        <f>TEXT(Calls[[#This Row],[Date of Call]],"mmm")</f>
        <v>Apr</v>
      </c>
    </row>
    <row r="509" spans="1:12" x14ac:dyDescent="0.3">
      <c r="A509" t="s">
        <v>513</v>
      </c>
      <c r="B509" t="s">
        <v>1024</v>
      </c>
      <c r="C509">
        <v>92</v>
      </c>
      <c r="D509" t="s">
        <v>1027</v>
      </c>
      <c r="E509" t="s">
        <v>1134</v>
      </c>
      <c r="F509">
        <v>94</v>
      </c>
      <c r="G509">
        <v>1.8</v>
      </c>
      <c r="H509">
        <f>ROUND(Calls[[#This Row],[Satisfactory Rating]],0)</f>
        <v>2</v>
      </c>
      <c r="I509" t="str" cm="1">
        <f t="array" ref="I509">_xlfn.IFS(Calls[[#This Row],[Duration (Min)]]&lt;=30,"Under 30 mins",Calls[[#This Row],[Duration (Min)]]&lt;=60,"Under 1h",Calls[[#This Row],[Duration (Min)]]&lt;=120,"Under 2",TRUE,"More than 2h")</f>
        <v>Under 2</v>
      </c>
      <c r="J509">
        <f>IF(MONTH(Calls[[#This Row],[Date of Call]])&lt;=3,YEAR(Calls[[#This Row],[Date of Call]]),YEAR(Calls[[#This Row],[Date of Call]])+1)</f>
        <v>2026</v>
      </c>
      <c r="K509" t="str">
        <f>TEXT(Calls[[#This Row],[Date of Call]],"dddd")</f>
        <v>Saturday</v>
      </c>
      <c r="L509" t="str">
        <f>TEXT(Calls[[#This Row],[Date of Call]],"mmm")</f>
        <v>Apr</v>
      </c>
    </row>
    <row r="510" spans="1:12" x14ac:dyDescent="0.3">
      <c r="A510" t="s">
        <v>514</v>
      </c>
      <c r="B510" t="s">
        <v>1008</v>
      </c>
      <c r="C510">
        <v>43</v>
      </c>
      <c r="D510" t="s">
        <v>1030</v>
      </c>
      <c r="E510" t="s">
        <v>1134</v>
      </c>
      <c r="F510">
        <v>146</v>
      </c>
      <c r="G510">
        <v>1.9</v>
      </c>
      <c r="H510">
        <f>ROUND(Calls[[#This Row],[Satisfactory Rating]],0)</f>
        <v>2</v>
      </c>
      <c r="I510" t="str" cm="1">
        <f t="array" ref="I510">_xlfn.IFS(Calls[[#This Row],[Duration (Min)]]&lt;=30,"Under 30 mins",Calls[[#This Row],[Duration (Min)]]&lt;=60,"Under 1h",Calls[[#This Row],[Duration (Min)]]&lt;=120,"Under 2",TRUE,"More than 2h")</f>
        <v>Under 1h</v>
      </c>
      <c r="J510">
        <f>IF(MONTH(Calls[[#This Row],[Date of Call]])&lt;=3,YEAR(Calls[[#This Row],[Date of Call]]),YEAR(Calls[[#This Row],[Date of Call]])+1)</f>
        <v>2026</v>
      </c>
      <c r="K510" t="str">
        <f>TEXT(Calls[[#This Row],[Date of Call]],"dddd")</f>
        <v>Saturday</v>
      </c>
      <c r="L510" t="str">
        <f>TEXT(Calls[[#This Row],[Date of Call]],"mmm")</f>
        <v>Apr</v>
      </c>
    </row>
    <row r="511" spans="1:12" x14ac:dyDescent="0.3">
      <c r="A511" t="s">
        <v>515</v>
      </c>
      <c r="B511" t="s">
        <v>1006</v>
      </c>
      <c r="C511">
        <v>58</v>
      </c>
      <c r="D511" t="s">
        <v>1027</v>
      </c>
      <c r="E511" t="s">
        <v>1134</v>
      </c>
      <c r="F511">
        <v>92</v>
      </c>
      <c r="G511">
        <v>4.9000000000000004</v>
      </c>
      <c r="H511">
        <f>ROUND(Calls[[#This Row],[Satisfactory Rating]],0)</f>
        <v>5</v>
      </c>
      <c r="I511" t="str" cm="1">
        <f t="array" ref="I511">_xlfn.IFS(Calls[[#This Row],[Duration (Min)]]&lt;=30,"Under 30 mins",Calls[[#This Row],[Duration (Min)]]&lt;=60,"Under 1h",Calls[[#This Row],[Duration (Min)]]&lt;=120,"Under 2",TRUE,"More than 2h")</f>
        <v>Under 1h</v>
      </c>
      <c r="J511">
        <f>IF(MONTH(Calls[[#This Row],[Date of Call]])&lt;=3,YEAR(Calls[[#This Row],[Date of Call]]),YEAR(Calls[[#This Row],[Date of Call]])+1)</f>
        <v>2026</v>
      </c>
      <c r="K511" t="str">
        <f>TEXT(Calls[[#This Row],[Date of Call]],"dddd")</f>
        <v>Saturday</v>
      </c>
      <c r="L511" t="str">
        <f>TEXT(Calls[[#This Row],[Date of Call]],"mmm")</f>
        <v>Apr</v>
      </c>
    </row>
    <row r="512" spans="1:12" x14ac:dyDescent="0.3">
      <c r="A512" t="s">
        <v>516</v>
      </c>
      <c r="B512" t="s">
        <v>1014</v>
      </c>
      <c r="C512">
        <v>82</v>
      </c>
      <c r="D512" t="s">
        <v>1031</v>
      </c>
      <c r="E512" t="s">
        <v>1135</v>
      </c>
      <c r="F512">
        <v>127</v>
      </c>
      <c r="G512">
        <v>4.7</v>
      </c>
      <c r="H512">
        <f>ROUND(Calls[[#This Row],[Satisfactory Rating]],0)</f>
        <v>5</v>
      </c>
      <c r="I512" t="str" cm="1">
        <f t="array" ref="I512">_xlfn.IFS(Calls[[#This Row],[Duration (Min)]]&lt;=30,"Under 30 mins",Calls[[#This Row],[Duration (Min)]]&lt;=60,"Under 1h",Calls[[#This Row],[Duration (Min)]]&lt;=120,"Under 2",TRUE,"More than 2h")</f>
        <v>Under 2</v>
      </c>
      <c r="J512">
        <f>IF(MONTH(Calls[[#This Row],[Date of Call]])&lt;=3,YEAR(Calls[[#This Row],[Date of Call]]),YEAR(Calls[[#This Row],[Date of Call]])+1)</f>
        <v>2026</v>
      </c>
      <c r="K512" t="str">
        <f>TEXT(Calls[[#This Row],[Date of Call]],"dddd")</f>
        <v>Sunday</v>
      </c>
      <c r="L512" t="str">
        <f>TEXT(Calls[[#This Row],[Date of Call]],"mmm")</f>
        <v>Apr</v>
      </c>
    </row>
    <row r="513" spans="1:12" x14ac:dyDescent="0.3">
      <c r="A513" t="s">
        <v>517</v>
      </c>
      <c r="B513" t="s">
        <v>1014</v>
      </c>
      <c r="C513">
        <v>44</v>
      </c>
      <c r="D513" t="s">
        <v>1030</v>
      </c>
      <c r="E513" t="s">
        <v>1135</v>
      </c>
      <c r="F513">
        <v>22</v>
      </c>
      <c r="G513">
        <v>2.6</v>
      </c>
      <c r="H513">
        <f>ROUND(Calls[[#This Row],[Satisfactory Rating]],0)</f>
        <v>3</v>
      </c>
      <c r="I513" t="str" cm="1">
        <f t="array" ref="I513">_xlfn.IFS(Calls[[#This Row],[Duration (Min)]]&lt;=30,"Under 30 mins",Calls[[#This Row],[Duration (Min)]]&lt;=60,"Under 1h",Calls[[#This Row],[Duration (Min)]]&lt;=120,"Under 2",TRUE,"More than 2h")</f>
        <v>Under 1h</v>
      </c>
      <c r="J513">
        <f>IF(MONTH(Calls[[#This Row],[Date of Call]])&lt;=3,YEAR(Calls[[#This Row],[Date of Call]]),YEAR(Calls[[#This Row],[Date of Call]])+1)</f>
        <v>2026</v>
      </c>
      <c r="K513" t="str">
        <f>TEXT(Calls[[#This Row],[Date of Call]],"dddd")</f>
        <v>Sunday</v>
      </c>
      <c r="L513" t="str">
        <f>TEXT(Calls[[#This Row],[Date of Call]],"mmm")</f>
        <v>Apr</v>
      </c>
    </row>
    <row r="514" spans="1:12" x14ac:dyDescent="0.3">
      <c r="A514" t="s">
        <v>518</v>
      </c>
      <c r="B514" t="s">
        <v>1023</v>
      </c>
      <c r="C514">
        <v>20</v>
      </c>
      <c r="D514" t="s">
        <v>1032</v>
      </c>
      <c r="E514" t="s">
        <v>1135</v>
      </c>
      <c r="F514">
        <v>94</v>
      </c>
      <c r="G514">
        <v>4.5</v>
      </c>
      <c r="H514">
        <f>ROUND(Calls[[#This Row],[Satisfactory Rating]],0)</f>
        <v>5</v>
      </c>
      <c r="I514" t="str" cm="1">
        <f t="array" ref="I514">_xlfn.IFS(Calls[[#This Row],[Duration (Min)]]&lt;=30,"Under 30 mins",Calls[[#This Row],[Duration (Min)]]&lt;=60,"Under 1h",Calls[[#This Row],[Duration (Min)]]&lt;=120,"Under 2",TRUE,"More than 2h")</f>
        <v>Under 30 mins</v>
      </c>
      <c r="J514">
        <f>IF(MONTH(Calls[[#This Row],[Date of Call]])&lt;=3,YEAR(Calls[[#This Row],[Date of Call]]),YEAR(Calls[[#This Row],[Date of Call]])+1)</f>
        <v>2026</v>
      </c>
      <c r="K514" t="str">
        <f>TEXT(Calls[[#This Row],[Date of Call]],"dddd")</f>
        <v>Sunday</v>
      </c>
      <c r="L514" t="str">
        <f>TEXT(Calls[[#This Row],[Date of Call]],"mmm")</f>
        <v>Apr</v>
      </c>
    </row>
    <row r="515" spans="1:12" x14ac:dyDescent="0.3">
      <c r="A515" t="s">
        <v>519</v>
      </c>
      <c r="B515" t="s">
        <v>1021</v>
      </c>
      <c r="C515">
        <v>35</v>
      </c>
      <c r="D515" t="s">
        <v>1030</v>
      </c>
      <c r="E515" t="s">
        <v>1135</v>
      </c>
      <c r="F515">
        <v>27</v>
      </c>
      <c r="G515">
        <v>3</v>
      </c>
      <c r="H515">
        <f>ROUND(Calls[[#This Row],[Satisfactory Rating]],0)</f>
        <v>3</v>
      </c>
      <c r="I515" t="str" cm="1">
        <f t="array" ref="I515">_xlfn.IFS(Calls[[#This Row],[Duration (Min)]]&lt;=30,"Under 30 mins",Calls[[#This Row],[Duration (Min)]]&lt;=60,"Under 1h",Calls[[#This Row],[Duration (Min)]]&lt;=120,"Under 2",TRUE,"More than 2h")</f>
        <v>Under 1h</v>
      </c>
      <c r="J515">
        <f>IF(MONTH(Calls[[#This Row],[Date of Call]])&lt;=3,YEAR(Calls[[#This Row],[Date of Call]]),YEAR(Calls[[#This Row],[Date of Call]])+1)</f>
        <v>2026</v>
      </c>
      <c r="K515" t="str">
        <f>TEXT(Calls[[#This Row],[Date of Call]],"dddd")</f>
        <v>Sunday</v>
      </c>
      <c r="L515" t="str">
        <f>TEXT(Calls[[#This Row],[Date of Call]],"mmm")</f>
        <v>Apr</v>
      </c>
    </row>
    <row r="516" spans="1:12" x14ac:dyDescent="0.3">
      <c r="A516" t="s">
        <v>520</v>
      </c>
      <c r="B516" t="s">
        <v>1024</v>
      </c>
      <c r="C516">
        <v>115</v>
      </c>
      <c r="D516" t="s">
        <v>1029</v>
      </c>
      <c r="E516" t="s">
        <v>1135</v>
      </c>
      <c r="F516">
        <v>63</v>
      </c>
      <c r="G516">
        <v>4.0999999999999996</v>
      </c>
      <c r="H516">
        <f>ROUND(Calls[[#This Row],[Satisfactory Rating]],0)</f>
        <v>4</v>
      </c>
      <c r="I516" t="str" cm="1">
        <f t="array" ref="I516">_xlfn.IFS(Calls[[#This Row],[Duration (Min)]]&lt;=30,"Under 30 mins",Calls[[#This Row],[Duration (Min)]]&lt;=60,"Under 1h",Calls[[#This Row],[Duration (Min)]]&lt;=120,"Under 2",TRUE,"More than 2h")</f>
        <v>Under 2</v>
      </c>
      <c r="J516">
        <f>IF(MONTH(Calls[[#This Row],[Date of Call]])&lt;=3,YEAR(Calls[[#This Row],[Date of Call]]),YEAR(Calls[[#This Row],[Date of Call]])+1)</f>
        <v>2026</v>
      </c>
      <c r="K516" t="str">
        <f>TEXT(Calls[[#This Row],[Date of Call]],"dddd")</f>
        <v>Sunday</v>
      </c>
      <c r="L516" t="str">
        <f>TEXT(Calls[[#This Row],[Date of Call]],"mmm")</f>
        <v>Apr</v>
      </c>
    </row>
    <row r="517" spans="1:12" x14ac:dyDescent="0.3">
      <c r="A517" t="s">
        <v>521</v>
      </c>
      <c r="B517" t="s">
        <v>1016</v>
      </c>
      <c r="C517">
        <v>145</v>
      </c>
      <c r="D517" t="s">
        <v>1027</v>
      </c>
      <c r="E517" t="s">
        <v>1136</v>
      </c>
      <c r="F517">
        <v>47</v>
      </c>
      <c r="G517">
        <v>2.4</v>
      </c>
      <c r="H517">
        <f>ROUND(Calls[[#This Row],[Satisfactory Rating]],0)</f>
        <v>2</v>
      </c>
      <c r="I517" t="str" cm="1">
        <f t="array" ref="I517">_xlfn.IFS(Calls[[#This Row],[Duration (Min)]]&lt;=30,"Under 30 mins",Calls[[#This Row],[Duration (Min)]]&lt;=60,"Under 1h",Calls[[#This Row],[Duration (Min)]]&lt;=120,"Under 2",TRUE,"More than 2h")</f>
        <v>More than 2h</v>
      </c>
      <c r="J517">
        <f>IF(MONTH(Calls[[#This Row],[Date of Call]])&lt;=3,YEAR(Calls[[#This Row],[Date of Call]]),YEAR(Calls[[#This Row],[Date of Call]])+1)</f>
        <v>2026</v>
      </c>
      <c r="K517" t="str">
        <f>TEXT(Calls[[#This Row],[Date of Call]],"dddd")</f>
        <v>Monday</v>
      </c>
      <c r="L517" t="str">
        <f>TEXT(Calls[[#This Row],[Date of Call]],"mmm")</f>
        <v>Apr</v>
      </c>
    </row>
    <row r="518" spans="1:12" x14ac:dyDescent="0.3">
      <c r="A518" t="s">
        <v>522</v>
      </c>
      <c r="B518" t="s">
        <v>1015</v>
      </c>
      <c r="C518">
        <v>67</v>
      </c>
      <c r="D518" t="s">
        <v>1027</v>
      </c>
      <c r="E518" t="s">
        <v>1136</v>
      </c>
      <c r="F518">
        <v>141</v>
      </c>
      <c r="G518">
        <v>2.4</v>
      </c>
      <c r="H518">
        <f>ROUND(Calls[[#This Row],[Satisfactory Rating]],0)</f>
        <v>2</v>
      </c>
      <c r="I518" t="str" cm="1">
        <f t="array" ref="I518">_xlfn.IFS(Calls[[#This Row],[Duration (Min)]]&lt;=30,"Under 30 mins",Calls[[#This Row],[Duration (Min)]]&lt;=60,"Under 1h",Calls[[#This Row],[Duration (Min)]]&lt;=120,"Under 2",TRUE,"More than 2h")</f>
        <v>Under 2</v>
      </c>
      <c r="J518">
        <f>IF(MONTH(Calls[[#This Row],[Date of Call]])&lt;=3,YEAR(Calls[[#This Row],[Date of Call]]),YEAR(Calls[[#This Row],[Date of Call]])+1)</f>
        <v>2026</v>
      </c>
      <c r="K518" t="str">
        <f>TEXT(Calls[[#This Row],[Date of Call]],"dddd")</f>
        <v>Monday</v>
      </c>
      <c r="L518" t="str">
        <f>TEXT(Calls[[#This Row],[Date of Call]],"mmm")</f>
        <v>Apr</v>
      </c>
    </row>
    <row r="519" spans="1:12" x14ac:dyDescent="0.3">
      <c r="A519" t="s">
        <v>523</v>
      </c>
      <c r="B519" t="s">
        <v>1024</v>
      </c>
      <c r="C519">
        <v>30</v>
      </c>
      <c r="D519" t="s">
        <v>1027</v>
      </c>
      <c r="E519" t="s">
        <v>1136</v>
      </c>
      <c r="F519">
        <v>123</v>
      </c>
      <c r="G519">
        <v>4.2</v>
      </c>
      <c r="H519">
        <f>ROUND(Calls[[#This Row],[Satisfactory Rating]],0)</f>
        <v>4</v>
      </c>
      <c r="I519" t="str" cm="1">
        <f t="array" ref="I519">_xlfn.IFS(Calls[[#This Row],[Duration (Min)]]&lt;=30,"Under 30 mins",Calls[[#This Row],[Duration (Min)]]&lt;=60,"Under 1h",Calls[[#This Row],[Duration (Min)]]&lt;=120,"Under 2",TRUE,"More than 2h")</f>
        <v>Under 30 mins</v>
      </c>
      <c r="J519">
        <f>IF(MONTH(Calls[[#This Row],[Date of Call]])&lt;=3,YEAR(Calls[[#This Row],[Date of Call]]),YEAR(Calls[[#This Row],[Date of Call]])+1)</f>
        <v>2026</v>
      </c>
      <c r="K519" t="str">
        <f>TEXT(Calls[[#This Row],[Date of Call]],"dddd")</f>
        <v>Monday</v>
      </c>
      <c r="L519" t="str">
        <f>TEXT(Calls[[#This Row],[Date of Call]],"mmm")</f>
        <v>Apr</v>
      </c>
    </row>
    <row r="520" spans="1:12" x14ac:dyDescent="0.3">
      <c r="A520" t="s">
        <v>524</v>
      </c>
      <c r="B520" t="s">
        <v>1014</v>
      </c>
      <c r="C520">
        <v>126</v>
      </c>
      <c r="D520" t="s">
        <v>1026</v>
      </c>
      <c r="E520" t="s">
        <v>1136</v>
      </c>
      <c r="F520">
        <v>95</v>
      </c>
      <c r="G520">
        <v>2.9</v>
      </c>
      <c r="H520">
        <f>ROUND(Calls[[#This Row],[Satisfactory Rating]],0)</f>
        <v>3</v>
      </c>
      <c r="I520" t="str" cm="1">
        <f t="array" ref="I520">_xlfn.IFS(Calls[[#This Row],[Duration (Min)]]&lt;=30,"Under 30 mins",Calls[[#This Row],[Duration (Min)]]&lt;=60,"Under 1h",Calls[[#This Row],[Duration (Min)]]&lt;=120,"Under 2",TRUE,"More than 2h")</f>
        <v>More than 2h</v>
      </c>
      <c r="J520">
        <f>IF(MONTH(Calls[[#This Row],[Date of Call]])&lt;=3,YEAR(Calls[[#This Row],[Date of Call]]),YEAR(Calls[[#This Row],[Date of Call]])+1)</f>
        <v>2026</v>
      </c>
      <c r="K520" t="str">
        <f>TEXT(Calls[[#This Row],[Date of Call]],"dddd")</f>
        <v>Monday</v>
      </c>
      <c r="L520" t="str">
        <f>TEXT(Calls[[#This Row],[Date of Call]],"mmm")</f>
        <v>Apr</v>
      </c>
    </row>
    <row r="521" spans="1:12" x14ac:dyDescent="0.3">
      <c r="A521" t="s">
        <v>525</v>
      </c>
      <c r="B521" t="s">
        <v>1010</v>
      </c>
      <c r="C521">
        <v>19</v>
      </c>
      <c r="D521" t="s">
        <v>1026</v>
      </c>
      <c r="E521" t="s">
        <v>1136</v>
      </c>
      <c r="F521">
        <v>135</v>
      </c>
      <c r="G521">
        <v>4.8</v>
      </c>
      <c r="H521">
        <f>ROUND(Calls[[#This Row],[Satisfactory Rating]],0)</f>
        <v>5</v>
      </c>
      <c r="I521" t="str" cm="1">
        <f t="array" ref="I521">_xlfn.IFS(Calls[[#This Row],[Duration (Min)]]&lt;=30,"Under 30 mins",Calls[[#This Row],[Duration (Min)]]&lt;=60,"Under 1h",Calls[[#This Row],[Duration (Min)]]&lt;=120,"Under 2",TRUE,"More than 2h")</f>
        <v>Under 30 mins</v>
      </c>
      <c r="J521">
        <f>IF(MONTH(Calls[[#This Row],[Date of Call]])&lt;=3,YEAR(Calls[[#This Row],[Date of Call]]),YEAR(Calls[[#This Row],[Date of Call]])+1)</f>
        <v>2026</v>
      </c>
      <c r="K521" t="str">
        <f>TEXT(Calls[[#This Row],[Date of Call]],"dddd")</f>
        <v>Monday</v>
      </c>
      <c r="L521" t="str">
        <f>TEXT(Calls[[#This Row],[Date of Call]],"mmm")</f>
        <v>Apr</v>
      </c>
    </row>
    <row r="522" spans="1:12" x14ac:dyDescent="0.3">
      <c r="A522" t="s">
        <v>526</v>
      </c>
      <c r="B522" t="s">
        <v>1011</v>
      </c>
      <c r="C522">
        <v>39</v>
      </c>
      <c r="D522" t="s">
        <v>1032</v>
      </c>
      <c r="E522" t="s">
        <v>1137</v>
      </c>
      <c r="F522">
        <v>121</v>
      </c>
      <c r="G522">
        <v>1.2</v>
      </c>
      <c r="H522">
        <f>ROUND(Calls[[#This Row],[Satisfactory Rating]],0)</f>
        <v>1</v>
      </c>
      <c r="I522" t="str" cm="1">
        <f t="array" ref="I522">_xlfn.IFS(Calls[[#This Row],[Duration (Min)]]&lt;=30,"Under 30 mins",Calls[[#This Row],[Duration (Min)]]&lt;=60,"Under 1h",Calls[[#This Row],[Duration (Min)]]&lt;=120,"Under 2",TRUE,"More than 2h")</f>
        <v>Under 1h</v>
      </c>
      <c r="J522">
        <f>IF(MONTH(Calls[[#This Row],[Date of Call]])&lt;=3,YEAR(Calls[[#This Row],[Date of Call]]),YEAR(Calls[[#This Row],[Date of Call]])+1)</f>
        <v>2026</v>
      </c>
      <c r="K522" t="str">
        <f>TEXT(Calls[[#This Row],[Date of Call]],"dddd")</f>
        <v>Tuesday</v>
      </c>
      <c r="L522" t="str">
        <f>TEXT(Calls[[#This Row],[Date of Call]],"mmm")</f>
        <v>Apr</v>
      </c>
    </row>
    <row r="523" spans="1:12" x14ac:dyDescent="0.3">
      <c r="A523" t="s">
        <v>527</v>
      </c>
      <c r="B523" t="s">
        <v>1007</v>
      </c>
      <c r="C523">
        <v>47</v>
      </c>
      <c r="D523" t="s">
        <v>1028</v>
      </c>
      <c r="E523" t="s">
        <v>1137</v>
      </c>
      <c r="F523">
        <v>22</v>
      </c>
      <c r="G523">
        <v>2.1</v>
      </c>
      <c r="H523">
        <f>ROUND(Calls[[#This Row],[Satisfactory Rating]],0)</f>
        <v>2</v>
      </c>
      <c r="I523" t="str" cm="1">
        <f t="array" ref="I523">_xlfn.IFS(Calls[[#This Row],[Duration (Min)]]&lt;=30,"Under 30 mins",Calls[[#This Row],[Duration (Min)]]&lt;=60,"Under 1h",Calls[[#This Row],[Duration (Min)]]&lt;=120,"Under 2",TRUE,"More than 2h")</f>
        <v>Under 1h</v>
      </c>
      <c r="J523">
        <f>IF(MONTH(Calls[[#This Row],[Date of Call]])&lt;=3,YEAR(Calls[[#This Row],[Date of Call]]),YEAR(Calls[[#This Row],[Date of Call]])+1)</f>
        <v>2026</v>
      </c>
      <c r="K523" t="str">
        <f>TEXT(Calls[[#This Row],[Date of Call]],"dddd")</f>
        <v>Tuesday</v>
      </c>
      <c r="L523" t="str">
        <f>TEXT(Calls[[#This Row],[Date of Call]],"mmm")</f>
        <v>Apr</v>
      </c>
    </row>
    <row r="524" spans="1:12" x14ac:dyDescent="0.3">
      <c r="A524" t="s">
        <v>528</v>
      </c>
      <c r="B524" t="s">
        <v>1015</v>
      </c>
      <c r="C524">
        <v>81</v>
      </c>
      <c r="D524" t="s">
        <v>1031</v>
      </c>
      <c r="E524" t="s">
        <v>1137</v>
      </c>
      <c r="F524">
        <v>80</v>
      </c>
      <c r="G524">
        <v>2.8</v>
      </c>
      <c r="H524">
        <f>ROUND(Calls[[#This Row],[Satisfactory Rating]],0)</f>
        <v>3</v>
      </c>
      <c r="I524" t="str" cm="1">
        <f t="array" ref="I524">_xlfn.IFS(Calls[[#This Row],[Duration (Min)]]&lt;=30,"Under 30 mins",Calls[[#This Row],[Duration (Min)]]&lt;=60,"Under 1h",Calls[[#This Row],[Duration (Min)]]&lt;=120,"Under 2",TRUE,"More than 2h")</f>
        <v>Under 2</v>
      </c>
      <c r="J524">
        <f>IF(MONTH(Calls[[#This Row],[Date of Call]])&lt;=3,YEAR(Calls[[#This Row],[Date of Call]]),YEAR(Calls[[#This Row],[Date of Call]])+1)</f>
        <v>2026</v>
      </c>
      <c r="K524" t="str">
        <f>TEXT(Calls[[#This Row],[Date of Call]],"dddd")</f>
        <v>Tuesday</v>
      </c>
      <c r="L524" t="str">
        <f>TEXT(Calls[[#This Row],[Date of Call]],"mmm")</f>
        <v>Apr</v>
      </c>
    </row>
    <row r="525" spans="1:12" x14ac:dyDescent="0.3">
      <c r="A525" t="s">
        <v>529</v>
      </c>
      <c r="B525" t="s">
        <v>1009</v>
      </c>
      <c r="C525">
        <v>121</v>
      </c>
      <c r="D525" t="s">
        <v>1027</v>
      </c>
      <c r="E525" t="s">
        <v>1137</v>
      </c>
      <c r="F525">
        <v>130</v>
      </c>
      <c r="G525">
        <v>2.6</v>
      </c>
      <c r="H525">
        <f>ROUND(Calls[[#This Row],[Satisfactory Rating]],0)</f>
        <v>3</v>
      </c>
      <c r="I525" t="str" cm="1">
        <f t="array" ref="I525">_xlfn.IFS(Calls[[#This Row],[Duration (Min)]]&lt;=30,"Under 30 mins",Calls[[#This Row],[Duration (Min)]]&lt;=60,"Under 1h",Calls[[#This Row],[Duration (Min)]]&lt;=120,"Under 2",TRUE,"More than 2h")</f>
        <v>More than 2h</v>
      </c>
      <c r="J525">
        <f>IF(MONTH(Calls[[#This Row],[Date of Call]])&lt;=3,YEAR(Calls[[#This Row],[Date of Call]]),YEAR(Calls[[#This Row],[Date of Call]])+1)</f>
        <v>2026</v>
      </c>
      <c r="K525" t="str">
        <f>TEXT(Calls[[#This Row],[Date of Call]],"dddd")</f>
        <v>Tuesday</v>
      </c>
      <c r="L525" t="str">
        <f>TEXT(Calls[[#This Row],[Date of Call]],"mmm")</f>
        <v>Apr</v>
      </c>
    </row>
    <row r="526" spans="1:12" x14ac:dyDescent="0.3">
      <c r="A526" t="s">
        <v>530</v>
      </c>
      <c r="B526" t="s">
        <v>1014</v>
      </c>
      <c r="C526">
        <v>156</v>
      </c>
      <c r="D526" t="s">
        <v>1026</v>
      </c>
      <c r="E526" t="s">
        <v>1137</v>
      </c>
      <c r="F526">
        <v>123</v>
      </c>
      <c r="G526">
        <v>4.3</v>
      </c>
      <c r="H526">
        <f>ROUND(Calls[[#This Row],[Satisfactory Rating]],0)</f>
        <v>4</v>
      </c>
      <c r="I526" t="str" cm="1">
        <f t="array" ref="I526">_xlfn.IFS(Calls[[#This Row],[Duration (Min)]]&lt;=30,"Under 30 mins",Calls[[#This Row],[Duration (Min)]]&lt;=60,"Under 1h",Calls[[#This Row],[Duration (Min)]]&lt;=120,"Under 2",TRUE,"More than 2h")</f>
        <v>More than 2h</v>
      </c>
      <c r="J526">
        <f>IF(MONTH(Calls[[#This Row],[Date of Call]])&lt;=3,YEAR(Calls[[#This Row],[Date of Call]]),YEAR(Calls[[#This Row],[Date of Call]])+1)</f>
        <v>2026</v>
      </c>
      <c r="K526" t="str">
        <f>TEXT(Calls[[#This Row],[Date of Call]],"dddd")</f>
        <v>Tuesday</v>
      </c>
      <c r="L526" t="str">
        <f>TEXT(Calls[[#This Row],[Date of Call]],"mmm")</f>
        <v>Apr</v>
      </c>
    </row>
    <row r="527" spans="1:12" x14ac:dyDescent="0.3">
      <c r="A527" t="s">
        <v>531</v>
      </c>
      <c r="B527" t="s">
        <v>1010</v>
      </c>
      <c r="C527">
        <v>106</v>
      </c>
      <c r="D527" t="s">
        <v>1030</v>
      </c>
      <c r="E527" t="s">
        <v>1138</v>
      </c>
      <c r="F527">
        <v>115</v>
      </c>
      <c r="G527">
        <v>2.7</v>
      </c>
      <c r="H527">
        <f>ROUND(Calls[[#This Row],[Satisfactory Rating]],0)</f>
        <v>3</v>
      </c>
      <c r="I527" t="str" cm="1">
        <f t="array" ref="I527">_xlfn.IFS(Calls[[#This Row],[Duration (Min)]]&lt;=30,"Under 30 mins",Calls[[#This Row],[Duration (Min)]]&lt;=60,"Under 1h",Calls[[#This Row],[Duration (Min)]]&lt;=120,"Under 2",TRUE,"More than 2h")</f>
        <v>Under 2</v>
      </c>
      <c r="J527">
        <f>IF(MONTH(Calls[[#This Row],[Date of Call]])&lt;=3,YEAR(Calls[[#This Row],[Date of Call]]),YEAR(Calls[[#This Row],[Date of Call]])+1)</f>
        <v>2026</v>
      </c>
      <c r="K527" t="str">
        <f>TEXT(Calls[[#This Row],[Date of Call]],"dddd")</f>
        <v>Wednesday</v>
      </c>
      <c r="L527" t="str">
        <f>TEXT(Calls[[#This Row],[Date of Call]],"mmm")</f>
        <v>Apr</v>
      </c>
    </row>
    <row r="528" spans="1:12" x14ac:dyDescent="0.3">
      <c r="A528" t="s">
        <v>532</v>
      </c>
      <c r="B528" t="s">
        <v>1025</v>
      </c>
      <c r="C528">
        <v>156</v>
      </c>
      <c r="D528" t="s">
        <v>1027</v>
      </c>
      <c r="E528" t="s">
        <v>1138</v>
      </c>
      <c r="F528">
        <v>31</v>
      </c>
      <c r="G528">
        <v>1.5</v>
      </c>
      <c r="H528">
        <f>ROUND(Calls[[#This Row],[Satisfactory Rating]],0)</f>
        <v>2</v>
      </c>
      <c r="I528" t="str" cm="1">
        <f t="array" ref="I528">_xlfn.IFS(Calls[[#This Row],[Duration (Min)]]&lt;=30,"Under 30 mins",Calls[[#This Row],[Duration (Min)]]&lt;=60,"Under 1h",Calls[[#This Row],[Duration (Min)]]&lt;=120,"Under 2",TRUE,"More than 2h")</f>
        <v>More than 2h</v>
      </c>
      <c r="J528">
        <f>IF(MONTH(Calls[[#This Row],[Date of Call]])&lt;=3,YEAR(Calls[[#This Row],[Date of Call]]),YEAR(Calls[[#This Row],[Date of Call]])+1)</f>
        <v>2026</v>
      </c>
      <c r="K528" t="str">
        <f>TEXT(Calls[[#This Row],[Date of Call]],"dddd")</f>
        <v>Wednesday</v>
      </c>
      <c r="L528" t="str">
        <f>TEXT(Calls[[#This Row],[Date of Call]],"mmm")</f>
        <v>Apr</v>
      </c>
    </row>
    <row r="529" spans="1:12" x14ac:dyDescent="0.3">
      <c r="A529" t="s">
        <v>533</v>
      </c>
      <c r="B529" t="s">
        <v>1022</v>
      </c>
      <c r="C529">
        <v>71</v>
      </c>
      <c r="D529" t="s">
        <v>1031</v>
      </c>
      <c r="E529" t="s">
        <v>1138</v>
      </c>
      <c r="F529">
        <v>41</v>
      </c>
      <c r="G529">
        <v>2.6</v>
      </c>
      <c r="H529">
        <f>ROUND(Calls[[#This Row],[Satisfactory Rating]],0)</f>
        <v>3</v>
      </c>
      <c r="I529" t="str" cm="1">
        <f t="array" ref="I529">_xlfn.IFS(Calls[[#This Row],[Duration (Min)]]&lt;=30,"Under 30 mins",Calls[[#This Row],[Duration (Min)]]&lt;=60,"Under 1h",Calls[[#This Row],[Duration (Min)]]&lt;=120,"Under 2",TRUE,"More than 2h")</f>
        <v>Under 2</v>
      </c>
      <c r="J529">
        <f>IF(MONTH(Calls[[#This Row],[Date of Call]])&lt;=3,YEAR(Calls[[#This Row],[Date of Call]]),YEAR(Calls[[#This Row],[Date of Call]])+1)</f>
        <v>2026</v>
      </c>
      <c r="K529" t="str">
        <f>TEXT(Calls[[#This Row],[Date of Call]],"dddd")</f>
        <v>Wednesday</v>
      </c>
      <c r="L529" t="str">
        <f>TEXT(Calls[[#This Row],[Date of Call]],"mmm")</f>
        <v>Apr</v>
      </c>
    </row>
    <row r="530" spans="1:12" x14ac:dyDescent="0.3">
      <c r="A530" t="s">
        <v>534</v>
      </c>
      <c r="B530" t="s">
        <v>1017</v>
      </c>
      <c r="C530">
        <v>86</v>
      </c>
      <c r="D530" t="s">
        <v>1031</v>
      </c>
      <c r="E530" t="s">
        <v>1138</v>
      </c>
      <c r="F530">
        <v>56</v>
      </c>
      <c r="G530">
        <v>4.9000000000000004</v>
      </c>
      <c r="H530">
        <f>ROUND(Calls[[#This Row],[Satisfactory Rating]],0)</f>
        <v>5</v>
      </c>
      <c r="I530" t="str" cm="1">
        <f t="array" ref="I530">_xlfn.IFS(Calls[[#This Row],[Duration (Min)]]&lt;=30,"Under 30 mins",Calls[[#This Row],[Duration (Min)]]&lt;=60,"Under 1h",Calls[[#This Row],[Duration (Min)]]&lt;=120,"Under 2",TRUE,"More than 2h")</f>
        <v>Under 2</v>
      </c>
      <c r="J530">
        <f>IF(MONTH(Calls[[#This Row],[Date of Call]])&lt;=3,YEAR(Calls[[#This Row],[Date of Call]]),YEAR(Calls[[#This Row],[Date of Call]])+1)</f>
        <v>2026</v>
      </c>
      <c r="K530" t="str">
        <f>TEXT(Calls[[#This Row],[Date of Call]],"dddd")</f>
        <v>Wednesday</v>
      </c>
      <c r="L530" t="str">
        <f>TEXT(Calls[[#This Row],[Date of Call]],"mmm")</f>
        <v>Apr</v>
      </c>
    </row>
    <row r="531" spans="1:12" x14ac:dyDescent="0.3">
      <c r="A531" t="s">
        <v>535</v>
      </c>
      <c r="B531" t="s">
        <v>1017</v>
      </c>
      <c r="C531">
        <v>71</v>
      </c>
      <c r="D531" t="s">
        <v>1030</v>
      </c>
      <c r="E531" t="s">
        <v>1138</v>
      </c>
      <c r="F531">
        <v>35</v>
      </c>
      <c r="G531">
        <v>2</v>
      </c>
      <c r="H531">
        <f>ROUND(Calls[[#This Row],[Satisfactory Rating]],0)</f>
        <v>2</v>
      </c>
      <c r="I531" t="str" cm="1">
        <f t="array" ref="I531">_xlfn.IFS(Calls[[#This Row],[Duration (Min)]]&lt;=30,"Under 30 mins",Calls[[#This Row],[Duration (Min)]]&lt;=60,"Under 1h",Calls[[#This Row],[Duration (Min)]]&lt;=120,"Under 2",TRUE,"More than 2h")</f>
        <v>Under 2</v>
      </c>
      <c r="J531">
        <f>IF(MONTH(Calls[[#This Row],[Date of Call]])&lt;=3,YEAR(Calls[[#This Row],[Date of Call]]),YEAR(Calls[[#This Row],[Date of Call]])+1)</f>
        <v>2026</v>
      </c>
      <c r="K531" t="str">
        <f>TEXT(Calls[[#This Row],[Date of Call]],"dddd")</f>
        <v>Wednesday</v>
      </c>
      <c r="L531" t="str">
        <f>TEXT(Calls[[#This Row],[Date of Call]],"mmm")</f>
        <v>Apr</v>
      </c>
    </row>
    <row r="532" spans="1:12" x14ac:dyDescent="0.3">
      <c r="A532" t="s">
        <v>536</v>
      </c>
      <c r="B532" t="s">
        <v>1006</v>
      </c>
      <c r="C532">
        <v>68</v>
      </c>
      <c r="D532" t="s">
        <v>1029</v>
      </c>
      <c r="E532" t="s">
        <v>1139</v>
      </c>
      <c r="F532">
        <v>120</v>
      </c>
      <c r="G532">
        <v>1.5</v>
      </c>
      <c r="H532">
        <f>ROUND(Calls[[#This Row],[Satisfactory Rating]],0)</f>
        <v>2</v>
      </c>
      <c r="I532" t="str" cm="1">
        <f t="array" ref="I532">_xlfn.IFS(Calls[[#This Row],[Duration (Min)]]&lt;=30,"Under 30 mins",Calls[[#This Row],[Duration (Min)]]&lt;=60,"Under 1h",Calls[[#This Row],[Duration (Min)]]&lt;=120,"Under 2",TRUE,"More than 2h")</f>
        <v>Under 2</v>
      </c>
      <c r="J532">
        <f>IF(MONTH(Calls[[#This Row],[Date of Call]])&lt;=3,YEAR(Calls[[#This Row],[Date of Call]]),YEAR(Calls[[#This Row],[Date of Call]])+1)</f>
        <v>2026</v>
      </c>
      <c r="K532" t="str">
        <f>TEXT(Calls[[#This Row],[Date of Call]],"dddd")</f>
        <v>Thursday</v>
      </c>
      <c r="L532" t="str">
        <f>TEXT(Calls[[#This Row],[Date of Call]],"mmm")</f>
        <v>Apr</v>
      </c>
    </row>
    <row r="533" spans="1:12" x14ac:dyDescent="0.3">
      <c r="A533" t="s">
        <v>537</v>
      </c>
      <c r="B533" t="s">
        <v>1023</v>
      </c>
      <c r="C533">
        <v>38</v>
      </c>
      <c r="D533" t="s">
        <v>1026</v>
      </c>
      <c r="E533" t="s">
        <v>1139</v>
      </c>
      <c r="F533">
        <v>145</v>
      </c>
      <c r="G533">
        <v>2.8</v>
      </c>
      <c r="H533">
        <f>ROUND(Calls[[#This Row],[Satisfactory Rating]],0)</f>
        <v>3</v>
      </c>
      <c r="I533" t="str" cm="1">
        <f t="array" ref="I533">_xlfn.IFS(Calls[[#This Row],[Duration (Min)]]&lt;=30,"Under 30 mins",Calls[[#This Row],[Duration (Min)]]&lt;=60,"Under 1h",Calls[[#This Row],[Duration (Min)]]&lt;=120,"Under 2",TRUE,"More than 2h")</f>
        <v>Under 1h</v>
      </c>
      <c r="J533">
        <f>IF(MONTH(Calls[[#This Row],[Date of Call]])&lt;=3,YEAR(Calls[[#This Row],[Date of Call]]),YEAR(Calls[[#This Row],[Date of Call]])+1)</f>
        <v>2026</v>
      </c>
      <c r="K533" t="str">
        <f>TEXT(Calls[[#This Row],[Date of Call]],"dddd")</f>
        <v>Thursday</v>
      </c>
      <c r="L533" t="str">
        <f>TEXT(Calls[[#This Row],[Date of Call]],"mmm")</f>
        <v>Apr</v>
      </c>
    </row>
    <row r="534" spans="1:12" x14ac:dyDescent="0.3">
      <c r="A534" t="s">
        <v>538</v>
      </c>
      <c r="B534" t="s">
        <v>1009</v>
      </c>
      <c r="C534">
        <v>28</v>
      </c>
      <c r="D534" t="s">
        <v>1027</v>
      </c>
      <c r="E534" t="s">
        <v>1139</v>
      </c>
      <c r="F534">
        <v>128</v>
      </c>
      <c r="G534">
        <v>3.4</v>
      </c>
      <c r="H534">
        <f>ROUND(Calls[[#This Row],[Satisfactory Rating]],0)</f>
        <v>3</v>
      </c>
      <c r="I534" t="str" cm="1">
        <f t="array" ref="I534">_xlfn.IFS(Calls[[#This Row],[Duration (Min)]]&lt;=30,"Under 30 mins",Calls[[#This Row],[Duration (Min)]]&lt;=60,"Under 1h",Calls[[#This Row],[Duration (Min)]]&lt;=120,"Under 2",TRUE,"More than 2h")</f>
        <v>Under 30 mins</v>
      </c>
      <c r="J534">
        <f>IF(MONTH(Calls[[#This Row],[Date of Call]])&lt;=3,YEAR(Calls[[#This Row],[Date of Call]]),YEAR(Calls[[#This Row],[Date of Call]])+1)</f>
        <v>2026</v>
      </c>
      <c r="K534" t="str">
        <f>TEXT(Calls[[#This Row],[Date of Call]],"dddd")</f>
        <v>Thursday</v>
      </c>
      <c r="L534" t="str">
        <f>TEXT(Calls[[#This Row],[Date of Call]],"mmm")</f>
        <v>Apr</v>
      </c>
    </row>
    <row r="535" spans="1:12" x14ac:dyDescent="0.3">
      <c r="A535" t="s">
        <v>539</v>
      </c>
      <c r="B535" t="s">
        <v>1006</v>
      </c>
      <c r="C535">
        <v>51</v>
      </c>
      <c r="D535" t="s">
        <v>1028</v>
      </c>
      <c r="E535" t="s">
        <v>1139</v>
      </c>
      <c r="F535">
        <v>149</v>
      </c>
      <c r="G535">
        <v>2.7</v>
      </c>
      <c r="H535">
        <f>ROUND(Calls[[#This Row],[Satisfactory Rating]],0)</f>
        <v>3</v>
      </c>
      <c r="I535" t="str" cm="1">
        <f t="array" ref="I535">_xlfn.IFS(Calls[[#This Row],[Duration (Min)]]&lt;=30,"Under 30 mins",Calls[[#This Row],[Duration (Min)]]&lt;=60,"Under 1h",Calls[[#This Row],[Duration (Min)]]&lt;=120,"Under 2",TRUE,"More than 2h")</f>
        <v>Under 1h</v>
      </c>
      <c r="J535">
        <f>IF(MONTH(Calls[[#This Row],[Date of Call]])&lt;=3,YEAR(Calls[[#This Row],[Date of Call]]),YEAR(Calls[[#This Row],[Date of Call]])+1)</f>
        <v>2026</v>
      </c>
      <c r="K535" t="str">
        <f>TEXT(Calls[[#This Row],[Date of Call]],"dddd")</f>
        <v>Thursday</v>
      </c>
      <c r="L535" t="str">
        <f>TEXT(Calls[[#This Row],[Date of Call]],"mmm")</f>
        <v>Apr</v>
      </c>
    </row>
    <row r="536" spans="1:12" x14ac:dyDescent="0.3">
      <c r="A536" t="s">
        <v>540</v>
      </c>
      <c r="B536" t="s">
        <v>1011</v>
      </c>
      <c r="C536">
        <v>70</v>
      </c>
      <c r="D536" t="s">
        <v>1026</v>
      </c>
      <c r="E536" t="s">
        <v>1139</v>
      </c>
      <c r="F536">
        <v>145</v>
      </c>
      <c r="G536">
        <v>4.5999999999999996</v>
      </c>
      <c r="H536">
        <f>ROUND(Calls[[#This Row],[Satisfactory Rating]],0)</f>
        <v>5</v>
      </c>
      <c r="I536" t="str" cm="1">
        <f t="array" ref="I536">_xlfn.IFS(Calls[[#This Row],[Duration (Min)]]&lt;=30,"Under 30 mins",Calls[[#This Row],[Duration (Min)]]&lt;=60,"Under 1h",Calls[[#This Row],[Duration (Min)]]&lt;=120,"Under 2",TRUE,"More than 2h")</f>
        <v>Under 2</v>
      </c>
      <c r="J536">
        <f>IF(MONTH(Calls[[#This Row],[Date of Call]])&lt;=3,YEAR(Calls[[#This Row],[Date of Call]]),YEAR(Calls[[#This Row],[Date of Call]])+1)</f>
        <v>2026</v>
      </c>
      <c r="K536" t="str">
        <f>TEXT(Calls[[#This Row],[Date of Call]],"dddd")</f>
        <v>Thursday</v>
      </c>
      <c r="L536" t="str">
        <f>TEXT(Calls[[#This Row],[Date of Call]],"mmm")</f>
        <v>Apr</v>
      </c>
    </row>
    <row r="537" spans="1:12" x14ac:dyDescent="0.3">
      <c r="A537" t="s">
        <v>541</v>
      </c>
      <c r="B537" t="s">
        <v>1021</v>
      </c>
      <c r="C537">
        <v>87</v>
      </c>
      <c r="D537" t="s">
        <v>1027</v>
      </c>
      <c r="E537" t="s">
        <v>1140</v>
      </c>
      <c r="F537">
        <v>24</v>
      </c>
      <c r="G537">
        <v>3.7</v>
      </c>
      <c r="H537">
        <f>ROUND(Calls[[#This Row],[Satisfactory Rating]],0)</f>
        <v>4</v>
      </c>
      <c r="I537" t="str" cm="1">
        <f t="array" ref="I537">_xlfn.IFS(Calls[[#This Row],[Duration (Min)]]&lt;=30,"Under 30 mins",Calls[[#This Row],[Duration (Min)]]&lt;=60,"Under 1h",Calls[[#This Row],[Duration (Min)]]&lt;=120,"Under 2",TRUE,"More than 2h")</f>
        <v>Under 2</v>
      </c>
      <c r="J537">
        <f>IF(MONTH(Calls[[#This Row],[Date of Call]])&lt;=3,YEAR(Calls[[#This Row],[Date of Call]]),YEAR(Calls[[#This Row],[Date of Call]])+1)</f>
        <v>2026</v>
      </c>
      <c r="K537" t="str">
        <f>TEXT(Calls[[#This Row],[Date of Call]],"dddd")</f>
        <v>Friday</v>
      </c>
      <c r="L537" t="str">
        <f>TEXT(Calls[[#This Row],[Date of Call]],"mmm")</f>
        <v>Apr</v>
      </c>
    </row>
    <row r="538" spans="1:12" x14ac:dyDescent="0.3">
      <c r="A538" t="s">
        <v>542</v>
      </c>
      <c r="B538" t="s">
        <v>1020</v>
      </c>
      <c r="C538">
        <v>108</v>
      </c>
      <c r="D538" t="s">
        <v>1026</v>
      </c>
      <c r="E538" t="s">
        <v>1140</v>
      </c>
      <c r="F538">
        <v>127</v>
      </c>
      <c r="G538">
        <v>2.5</v>
      </c>
      <c r="H538">
        <f>ROUND(Calls[[#This Row],[Satisfactory Rating]],0)</f>
        <v>3</v>
      </c>
      <c r="I538" t="str" cm="1">
        <f t="array" ref="I538">_xlfn.IFS(Calls[[#This Row],[Duration (Min)]]&lt;=30,"Under 30 mins",Calls[[#This Row],[Duration (Min)]]&lt;=60,"Under 1h",Calls[[#This Row],[Duration (Min)]]&lt;=120,"Under 2",TRUE,"More than 2h")</f>
        <v>Under 2</v>
      </c>
      <c r="J538">
        <f>IF(MONTH(Calls[[#This Row],[Date of Call]])&lt;=3,YEAR(Calls[[#This Row],[Date of Call]]),YEAR(Calls[[#This Row],[Date of Call]])+1)</f>
        <v>2026</v>
      </c>
      <c r="K538" t="str">
        <f>TEXT(Calls[[#This Row],[Date of Call]],"dddd")</f>
        <v>Friday</v>
      </c>
      <c r="L538" t="str">
        <f>TEXT(Calls[[#This Row],[Date of Call]],"mmm")</f>
        <v>Apr</v>
      </c>
    </row>
    <row r="539" spans="1:12" x14ac:dyDescent="0.3">
      <c r="A539" t="s">
        <v>543</v>
      </c>
      <c r="B539" t="s">
        <v>1019</v>
      </c>
      <c r="C539">
        <v>85</v>
      </c>
      <c r="D539" t="s">
        <v>1030</v>
      </c>
      <c r="E539" t="s">
        <v>1140</v>
      </c>
      <c r="F539">
        <v>138</v>
      </c>
      <c r="G539">
        <v>4.5</v>
      </c>
      <c r="H539">
        <f>ROUND(Calls[[#This Row],[Satisfactory Rating]],0)</f>
        <v>5</v>
      </c>
      <c r="I539" t="str" cm="1">
        <f t="array" ref="I539">_xlfn.IFS(Calls[[#This Row],[Duration (Min)]]&lt;=30,"Under 30 mins",Calls[[#This Row],[Duration (Min)]]&lt;=60,"Under 1h",Calls[[#This Row],[Duration (Min)]]&lt;=120,"Under 2",TRUE,"More than 2h")</f>
        <v>Under 2</v>
      </c>
      <c r="J539">
        <f>IF(MONTH(Calls[[#This Row],[Date of Call]])&lt;=3,YEAR(Calls[[#This Row],[Date of Call]]),YEAR(Calls[[#This Row],[Date of Call]])+1)</f>
        <v>2026</v>
      </c>
      <c r="K539" t="str">
        <f>TEXT(Calls[[#This Row],[Date of Call]],"dddd")</f>
        <v>Friday</v>
      </c>
      <c r="L539" t="str">
        <f>TEXT(Calls[[#This Row],[Date of Call]],"mmm")</f>
        <v>Apr</v>
      </c>
    </row>
    <row r="540" spans="1:12" x14ac:dyDescent="0.3">
      <c r="A540" t="s">
        <v>544</v>
      </c>
      <c r="B540" t="s">
        <v>1019</v>
      </c>
      <c r="C540">
        <v>136</v>
      </c>
      <c r="D540" t="s">
        <v>1030</v>
      </c>
      <c r="E540" t="s">
        <v>1140</v>
      </c>
      <c r="F540">
        <v>102</v>
      </c>
      <c r="G540">
        <v>2.7</v>
      </c>
      <c r="H540">
        <f>ROUND(Calls[[#This Row],[Satisfactory Rating]],0)</f>
        <v>3</v>
      </c>
      <c r="I540" t="str" cm="1">
        <f t="array" ref="I540">_xlfn.IFS(Calls[[#This Row],[Duration (Min)]]&lt;=30,"Under 30 mins",Calls[[#This Row],[Duration (Min)]]&lt;=60,"Under 1h",Calls[[#This Row],[Duration (Min)]]&lt;=120,"Under 2",TRUE,"More than 2h")</f>
        <v>More than 2h</v>
      </c>
      <c r="J540">
        <f>IF(MONTH(Calls[[#This Row],[Date of Call]])&lt;=3,YEAR(Calls[[#This Row],[Date of Call]]),YEAR(Calls[[#This Row],[Date of Call]])+1)</f>
        <v>2026</v>
      </c>
      <c r="K540" t="str">
        <f>TEXT(Calls[[#This Row],[Date of Call]],"dddd")</f>
        <v>Friday</v>
      </c>
      <c r="L540" t="str">
        <f>TEXT(Calls[[#This Row],[Date of Call]],"mmm")</f>
        <v>Apr</v>
      </c>
    </row>
    <row r="541" spans="1:12" x14ac:dyDescent="0.3">
      <c r="A541" t="s">
        <v>545</v>
      </c>
      <c r="B541" t="s">
        <v>1017</v>
      </c>
      <c r="C541">
        <v>42</v>
      </c>
      <c r="D541" t="s">
        <v>1026</v>
      </c>
      <c r="E541" t="s">
        <v>1140</v>
      </c>
      <c r="F541">
        <v>89</v>
      </c>
      <c r="G541">
        <v>4.9000000000000004</v>
      </c>
      <c r="H541">
        <f>ROUND(Calls[[#This Row],[Satisfactory Rating]],0)</f>
        <v>5</v>
      </c>
      <c r="I541" t="str" cm="1">
        <f t="array" ref="I541">_xlfn.IFS(Calls[[#This Row],[Duration (Min)]]&lt;=30,"Under 30 mins",Calls[[#This Row],[Duration (Min)]]&lt;=60,"Under 1h",Calls[[#This Row],[Duration (Min)]]&lt;=120,"Under 2",TRUE,"More than 2h")</f>
        <v>Under 1h</v>
      </c>
      <c r="J541">
        <f>IF(MONTH(Calls[[#This Row],[Date of Call]])&lt;=3,YEAR(Calls[[#This Row],[Date of Call]]),YEAR(Calls[[#This Row],[Date of Call]])+1)</f>
        <v>2026</v>
      </c>
      <c r="K541" t="str">
        <f>TEXT(Calls[[#This Row],[Date of Call]],"dddd")</f>
        <v>Friday</v>
      </c>
      <c r="L541" t="str">
        <f>TEXT(Calls[[#This Row],[Date of Call]],"mmm")</f>
        <v>Apr</v>
      </c>
    </row>
    <row r="542" spans="1:12" x14ac:dyDescent="0.3">
      <c r="A542" t="s">
        <v>546</v>
      </c>
      <c r="B542" t="s">
        <v>1011</v>
      </c>
      <c r="C542">
        <v>35</v>
      </c>
      <c r="D542" t="s">
        <v>1028</v>
      </c>
      <c r="E542" t="s">
        <v>1141</v>
      </c>
      <c r="F542">
        <v>30</v>
      </c>
      <c r="G542">
        <v>4.9000000000000004</v>
      </c>
      <c r="H542">
        <f>ROUND(Calls[[#This Row],[Satisfactory Rating]],0)</f>
        <v>5</v>
      </c>
      <c r="I542" t="str" cm="1">
        <f t="array" ref="I542">_xlfn.IFS(Calls[[#This Row],[Duration (Min)]]&lt;=30,"Under 30 mins",Calls[[#This Row],[Duration (Min)]]&lt;=60,"Under 1h",Calls[[#This Row],[Duration (Min)]]&lt;=120,"Under 2",TRUE,"More than 2h")</f>
        <v>Under 1h</v>
      </c>
      <c r="J542">
        <f>IF(MONTH(Calls[[#This Row],[Date of Call]])&lt;=3,YEAR(Calls[[#This Row],[Date of Call]]),YEAR(Calls[[#This Row],[Date of Call]])+1)</f>
        <v>2026</v>
      </c>
      <c r="K542" t="str">
        <f>TEXT(Calls[[#This Row],[Date of Call]],"dddd")</f>
        <v>Saturday</v>
      </c>
      <c r="L542" t="str">
        <f>TEXT(Calls[[#This Row],[Date of Call]],"mmm")</f>
        <v>Apr</v>
      </c>
    </row>
    <row r="543" spans="1:12" x14ac:dyDescent="0.3">
      <c r="A543" t="s">
        <v>547</v>
      </c>
      <c r="B543" t="s">
        <v>1018</v>
      </c>
      <c r="C543">
        <v>105</v>
      </c>
      <c r="D543" t="s">
        <v>1026</v>
      </c>
      <c r="E543" t="s">
        <v>1141</v>
      </c>
      <c r="F543">
        <v>69</v>
      </c>
      <c r="G543">
        <v>3.2</v>
      </c>
      <c r="H543">
        <f>ROUND(Calls[[#This Row],[Satisfactory Rating]],0)</f>
        <v>3</v>
      </c>
      <c r="I543" t="str" cm="1">
        <f t="array" ref="I543">_xlfn.IFS(Calls[[#This Row],[Duration (Min)]]&lt;=30,"Under 30 mins",Calls[[#This Row],[Duration (Min)]]&lt;=60,"Under 1h",Calls[[#This Row],[Duration (Min)]]&lt;=120,"Under 2",TRUE,"More than 2h")</f>
        <v>Under 2</v>
      </c>
      <c r="J543">
        <f>IF(MONTH(Calls[[#This Row],[Date of Call]])&lt;=3,YEAR(Calls[[#This Row],[Date of Call]]),YEAR(Calls[[#This Row],[Date of Call]])+1)</f>
        <v>2026</v>
      </c>
      <c r="K543" t="str">
        <f>TEXT(Calls[[#This Row],[Date of Call]],"dddd")</f>
        <v>Saturday</v>
      </c>
      <c r="L543" t="str">
        <f>TEXT(Calls[[#This Row],[Date of Call]],"mmm")</f>
        <v>Apr</v>
      </c>
    </row>
    <row r="544" spans="1:12" x14ac:dyDescent="0.3">
      <c r="A544" t="s">
        <v>548</v>
      </c>
      <c r="B544" t="s">
        <v>1020</v>
      </c>
      <c r="C544">
        <v>121</v>
      </c>
      <c r="D544" t="s">
        <v>1029</v>
      </c>
      <c r="E544" t="s">
        <v>1141</v>
      </c>
      <c r="F544">
        <v>24</v>
      </c>
      <c r="G544">
        <v>3.6</v>
      </c>
      <c r="H544">
        <f>ROUND(Calls[[#This Row],[Satisfactory Rating]],0)</f>
        <v>4</v>
      </c>
      <c r="I544" t="str" cm="1">
        <f t="array" ref="I544">_xlfn.IFS(Calls[[#This Row],[Duration (Min)]]&lt;=30,"Under 30 mins",Calls[[#This Row],[Duration (Min)]]&lt;=60,"Under 1h",Calls[[#This Row],[Duration (Min)]]&lt;=120,"Under 2",TRUE,"More than 2h")</f>
        <v>More than 2h</v>
      </c>
      <c r="J544">
        <f>IF(MONTH(Calls[[#This Row],[Date of Call]])&lt;=3,YEAR(Calls[[#This Row],[Date of Call]]),YEAR(Calls[[#This Row],[Date of Call]])+1)</f>
        <v>2026</v>
      </c>
      <c r="K544" t="str">
        <f>TEXT(Calls[[#This Row],[Date of Call]],"dddd")</f>
        <v>Saturday</v>
      </c>
      <c r="L544" t="str">
        <f>TEXT(Calls[[#This Row],[Date of Call]],"mmm")</f>
        <v>Apr</v>
      </c>
    </row>
    <row r="545" spans="1:12" x14ac:dyDescent="0.3">
      <c r="A545" t="s">
        <v>549</v>
      </c>
      <c r="B545" t="s">
        <v>1020</v>
      </c>
      <c r="C545">
        <v>130</v>
      </c>
      <c r="D545" t="s">
        <v>1030</v>
      </c>
      <c r="E545" t="s">
        <v>1141</v>
      </c>
      <c r="F545">
        <v>149</v>
      </c>
      <c r="G545">
        <v>4.8</v>
      </c>
      <c r="H545">
        <f>ROUND(Calls[[#This Row],[Satisfactory Rating]],0)</f>
        <v>5</v>
      </c>
      <c r="I545" t="str" cm="1">
        <f t="array" ref="I545">_xlfn.IFS(Calls[[#This Row],[Duration (Min)]]&lt;=30,"Under 30 mins",Calls[[#This Row],[Duration (Min)]]&lt;=60,"Under 1h",Calls[[#This Row],[Duration (Min)]]&lt;=120,"Under 2",TRUE,"More than 2h")</f>
        <v>More than 2h</v>
      </c>
      <c r="J545">
        <f>IF(MONTH(Calls[[#This Row],[Date of Call]])&lt;=3,YEAR(Calls[[#This Row],[Date of Call]]),YEAR(Calls[[#This Row],[Date of Call]])+1)</f>
        <v>2026</v>
      </c>
      <c r="K545" t="str">
        <f>TEXT(Calls[[#This Row],[Date of Call]],"dddd")</f>
        <v>Saturday</v>
      </c>
      <c r="L545" t="str">
        <f>TEXT(Calls[[#This Row],[Date of Call]],"mmm")</f>
        <v>Apr</v>
      </c>
    </row>
    <row r="546" spans="1:12" x14ac:dyDescent="0.3">
      <c r="A546" t="s">
        <v>550</v>
      </c>
      <c r="B546" t="s">
        <v>1025</v>
      </c>
      <c r="C546">
        <v>96</v>
      </c>
      <c r="D546" t="s">
        <v>1031</v>
      </c>
      <c r="E546" t="s">
        <v>1141</v>
      </c>
      <c r="F546">
        <v>130</v>
      </c>
      <c r="G546">
        <v>4.3</v>
      </c>
      <c r="H546">
        <f>ROUND(Calls[[#This Row],[Satisfactory Rating]],0)</f>
        <v>4</v>
      </c>
      <c r="I546" t="str" cm="1">
        <f t="array" ref="I546">_xlfn.IFS(Calls[[#This Row],[Duration (Min)]]&lt;=30,"Under 30 mins",Calls[[#This Row],[Duration (Min)]]&lt;=60,"Under 1h",Calls[[#This Row],[Duration (Min)]]&lt;=120,"Under 2",TRUE,"More than 2h")</f>
        <v>Under 2</v>
      </c>
      <c r="J546">
        <f>IF(MONTH(Calls[[#This Row],[Date of Call]])&lt;=3,YEAR(Calls[[#This Row],[Date of Call]]),YEAR(Calls[[#This Row],[Date of Call]])+1)</f>
        <v>2026</v>
      </c>
      <c r="K546" t="str">
        <f>TEXT(Calls[[#This Row],[Date of Call]],"dddd")</f>
        <v>Saturday</v>
      </c>
      <c r="L546" t="str">
        <f>TEXT(Calls[[#This Row],[Date of Call]],"mmm")</f>
        <v>Apr</v>
      </c>
    </row>
    <row r="547" spans="1:12" x14ac:dyDescent="0.3">
      <c r="A547" t="s">
        <v>551</v>
      </c>
      <c r="B547" t="s">
        <v>1018</v>
      </c>
      <c r="C547">
        <v>40</v>
      </c>
      <c r="D547" t="s">
        <v>1031</v>
      </c>
      <c r="E547" t="s">
        <v>1142</v>
      </c>
      <c r="F547">
        <v>42</v>
      </c>
      <c r="G547">
        <v>3.9</v>
      </c>
      <c r="H547">
        <f>ROUND(Calls[[#This Row],[Satisfactory Rating]],0)</f>
        <v>4</v>
      </c>
      <c r="I547" t="str" cm="1">
        <f t="array" ref="I547">_xlfn.IFS(Calls[[#This Row],[Duration (Min)]]&lt;=30,"Under 30 mins",Calls[[#This Row],[Duration (Min)]]&lt;=60,"Under 1h",Calls[[#This Row],[Duration (Min)]]&lt;=120,"Under 2",TRUE,"More than 2h")</f>
        <v>Under 1h</v>
      </c>
      <c r="J547">
        <f>IF(MONTH(Calls[[#This Row],[Date of Call]])&lt;=3,YEAR(Calls[[#This Row],[Date of Call]]),YEAR(Calls[[#This Row],[Date of Call]])+1)</f>
        <v>2026</v>
      </c>
      <c r="K547" t="str">
        <f>TEXT(Calls[[#This Row],[Date of Call]],"dddd")</f>
        <v>Sunday</v>
      </c>
      <c r="L547" t="str">
        <f>TEXT(Calls[[#This Row],[Date of Call]],"mmm")</f>
        <v>Apr</v>
      </c>
    </row>
    <row r="548" spans="1:12" x14ac:dyDescent="0.3">
      <c r="A548" t="s">
        <v>552</v>
      </c>
      <c r="B548" t="s">
        <v>1016</v>
      </c>
      <c r="C548">
        <v>60</v>
      </c>
      <c r="D548" t="s">
        <v>1026</v>
      </c>
      <c r="E548" t="s">
        <v>1142</v>
      </c>
      <c r="F548">
        <v>89</v>
      </c>
      <c r="G548">
        <v>4.3</v>
      </c>
      <c r="H548">
        <f>ROUND(Calls[[#This Row],[Satisfactory Rating]],0)</f>
        <v>4</v>
      </c>
      <c r="I548" t="str" cm="1">
        <f t="array" ref="I548">_xlfn.IFS(Calls[[#This Row],[Duration (Min)]]&lt;=30,"Under 30 mins",Calls[[#This Row],[Duration (Min)]]&lt;=60,"Under 1h",Calls[[#This Row],[Duration (Min)]]&lt;=120,"Under 2",TRUE,"More than 2h")</f>
        <v>Under 1h</v>
      </c>
      <c r="J548">
        <f>IF(MONTH(Calls[[#This Row],[Date of Call]])&lt;=3,YEAR(Calls[[#This Row],[Date of Call]]),YEAR(Calls[[#This Row],[Date of Call]])+1)</f>
        <v>2026</v>
      </c>
      <c r="K548" t="str">
        <f>TEXT(Calls[[#This Row],[Date of Call]],"dddd")</f>
        <v>Sunday</v>
      </c>
      <c r="L548" t="str">
        <f>TEXT(Calls[[#This Row],[Date of Call]],"mmm")</f>
        <v>Apr</v>
      </c>
    </row>
    <row r="549" spans="1:12" x14ac:dyDescent="0.3">
      <c r="A549" t="s">
        <v>553</v>
      </c>
      <c r="B549" t="s">
        <v>1020</v>
      </c>
      <c r="C549">
        <v>23</v>
      </c>
      <c r="D549" t="s">
        <v>1027</v>
      </c>
      <c r="E549" t="s">
        <v>1142</v>
      </c>
      <c r="F549">
        <v>75</v>
      </c>
      <c r="G549">
        <v>1.8</v>
      </c>
      <c r="H549">
        <f>ROUND(Calls[[#This Row],[Satisfactory Rating]],0)</f>
        <v>2</v>
      </c>
      <c r="I549" t="str" cm="1">
        <f t="array" ref="I549">_xlfn.IFS(Calls[[#This Row],[Duration (Min)]]&lt;=30,"Under 30 mins",Calls[[#This Row],[Duration (Min)]]&lt;=60,"Under 1h",Calls[[#This Row],[Duration (Min)]]&lt;=120,"Under 2",TRUE,"More than 2h")</f>
        <v>Under 30 mins</v>
      </c>
      <c r="J549">
        <f>IF(MONTH(Calls[[#This Row],[Date of Call]])&lt;=3,YEAR(Calls[[#This Row],[Date of Call]]),YEAR(Calls[[#This Row],[Date of Call]])+1)</f>
        <v>2026</v>
      </c>
      <c r="K549" t="str">
        <f>TEXT(Calls[[#This Row],[Date of Call]],"dddd")</f>
        <v>Sunday</v>
      </c>
      <c r="L549" t="str">
        <f>TEXT(Calls[[#This Row],[Date of Call]],"mmm")</f>
        <v>Apr</v>
      </c>
    </row>
    <row r="550" spans="1:12" x14ac:dyDescent="0.3">
      <c r="A550" t="s">
        <v>554</v>
      </c>
      <c r="B550" t="s">
        <v>1011</v>
      </c>
      <c r="C550">
        <v>129</v>
      </c>
      <c r="D550" t="s">
        <v>1027</v>
      </c>
      <c r="E550" t="s">
        <v>1142</v>
      </c>
      <c r="F550">
        <v>104</v>
      </c>
      <c r="G550">
        <v>2.2000000000000002</v>
      </c>
      <c r="H550">
        <f>ROUND(Calls[[#This Row],[Satisfactory Rating]],0)</f>
        <v>2</v>
      </c>
      <c r="I550" t="str" cm="1">
        <f t="array" ref="I550">_xlfn.IFS(Calls[[#This Row],[Duration (Min)]]&lt;=30,"Under 30 mins",Calls[[#This Row],[Duration (Min)]]&lt;=60,"Under 1h",Calls[[#This Row],[Duration (Min)]]&lt;=120,"Under 2",TRUE,"More than 2h")</f>
        <v>More than 2h</v>
      </c>
      <c r="J550">
        <f>IF(MONTH(Calls[[#This Row],[Date of Call]])&lt;=3,YEAR(Calls[[#This Row],[Date of Call]]),YEAR(Calls[[#This Row],[Date of Call]])+1)</f>
        <v>2026</v>
      </c>
      <c r="K550" t="str">
        <f>TEXT(Calls[[#This Row],[Date of Call]],"dddd")</f>
        <v>Sunday</v>
      </c>
      <c r="L550" t="str">
        <f>TEXT(Calls[[#This Row],[Date of Call]],"mmm")</f>
        <v>Apr</v>
      </c>
    </row>
    <row r="551" spans="1:12" x14ac:dyDescent="0.3">
      <c r="A551" t="s">
        <v>555</v>
      </c>
      <c r="B551" t="s">
        <v>1012</v>
      </c>
      <c r="C551">
        <v>76</v>
      </c>
      <c r="D551" t="s">
        <v>1027</v>
      </c>
      <c r="E551" t="s">
        <v>1142</v>
      </c>
      <c r="F551">
        <v>20</v>
      </c>
      <c r="G551">
        <v>4.5</v>
      </c>
      <c r="H551">
        <f>ROUND(Calls[[#This Row],[Satisfactory Rating]],0)</f>
        <v>5</v>
      </c>
      <c r="I551" t="str" cm="1">
        <f t="array" ref="I551">_xlfn.IFS(Calls[[#This Row],[Duration (Min)]]&lt;=30,"Under 30 mins",Calls[[#This Row],[Duration (Min)]]&lt;=60,"Under 1h",Calls[[#This Row],[Duration (Min)]]&lt;=120,"Under 2",TRUE,"More than 2h")</f>
        <v>Under 2</v>
      </c>
      <c r="J551">
        <f>IF(MONTH(Calls[[#This Row],[Date of Call]])&lt;=3,YEAR(Calls[[#This Row],[Date of Call]]),YEAR(Calls[[#This Row],[Date of Call]])+1)</f>
        <v>2026</v>
      </c>
      <c r="K551" t="str">
        <f>TEXT(Calls[[#This Row],[Date of Call]],"dddd")</f>
        <v>Sunday</v>
      </c>
      <c r="L551" t="str">
        <f>TEXT(Calls[[#This Row],[Date of Call]],"mmm")</f>
        <v>Apr</v>
      </c>
    </row>
    <row r="552" spans="1:12" x14ac:dyDescent="0.3">
      <c r="A552" t="s">
        <v>556</v>
      </c>
      <c r="B552" t="s">
        <v>1012</v>
      </c>
      <c r="C552">
        <v>43</v>
      </c>
      <c r="D552" t="s">
        <v>1030</v>
      </c>
      <c r="E552" t="s">
        <v>1143</v>
      </c>
      <c r="F552">
        <v>131</v>
      </c>
      <c r="G552">
        <v>2</v>
      </c>
      <c r="H552">
        <f>ROUND(Calls[[#This Row],[Satisfactory Rating]],0)</f>
        <v>2</v>
      </c>
      <c r="I552" t="str" cm="1">
        <f t="array" ref="I552">_xlfn.IFS(Calls[[#This Row],[Duration (Min)]]&lt;=30,"Under 30 mins",Calls[[#This Row],[Duration (Min)]]&lt;=60,"Under 1h",Calls[[#This Row],[Duration (Min)]]&lt;=120,"Under 2",TRUE,"More than 2h")</f>
        <v>Under 1h</v>
      </c>
      <c r="J552">
        <f>IF(MONTH(Calls[[#This Row],[Date of Call]])&lt;=3,YEAR(Calls[[#This Row],[Date of Call]]),YEAR(Calls[[#This Row],[Date of Call]])+1)</f>
        <v>2026</v>
      </c>
      <c r="K552" t="str">
        <f>TEXT(Calls[[#This Row],[Date of Call]],"dddd")</f>
        <v>Monday</v>
      </c>
      <c r="L552" t="str">
        <f>TEXT(Calls[[#This Row],[Date of Call]],"mmm")</f>
        <v>Apr</v>
      </c>
    </row>
    <row r="553" spans="1:12" x14ac:dyDescent="0.3">
      <c r="A553" t="s">
        <v>557</v>
      </c>
      <c r="B553" t="s">
        <v>1011</v>
      </c>
      <c r="C553">
        <v>117</v>
      </c>
      <c r="D553" t="s">
        <v>1026</v>
      </c>
      <c r="E553" t="s">
        <v>1143</v>
      </c>
      <c r="F553">
        <v>129</v>
      </c>
      <c r="G553">
        <v>3.7</v>
      </c>
      <c r="H553">
        <f>ROUND(Calls[[#This Row],[Satisfactory Rating]],0)</f>
        <v>4</v>
      </c>
      <c r="I553" t="str" cm="1">
        <f t="array" ref="I553">_xlfn.IFS(Calls[[#This Row],[Duration (Min)]]&lt;=30,"Under 30 mins",Calls[[#This Row],[Duration (Min)]]&lt;=60,"Under 1h",Calls[[#This Row],[Duration (Min)]]&lt;=120,"Under 2",TRUE,"More than 2h")</f>
        <v>Under 2</v>
      </c>
      <c r="J553">
        <f>IF(MONTH(Calls[[#This Row],[Date of Call]])&lt;=3,YEAR(Calls[[#This Row],[Date of Call]]),YEAR(Calls[[#This Row],[Date of Call]])+1)</f>
        <v>2026</v>
      </c>
      <c r="K553" t="str">
        <f>TEXT(Calls[[#This Row],[Date of Call]],"dddd")</f>
        <v>Monday</v>
      </c>
      <c r="L553" t="str">
        <f>TEXT(Calls[[#This Row],[Date of Call]],"mmm")</f>
        <v>Apr</v>
      </c>
    </row>
    <row r="554" spans="1:12" x14ac:dyDescent="0.3">
      <c r="A554" t="s">
        <v>558</v>
      </c>
      <c r="B554" t="s">
        <v>1012</v>
      </c>
      <c r="C554">
        <v>109</v>
      </c>
      <c r="D554" t="s">
        <v>1031</v>
      </c>
      <c r="E554" t="s">
        <v>1143</v>
      </c>
      <c r="F554">
        <v>107</v>
      </c>
      <c r="G554">
        <v>2.8</v>
      </c>
      <c r="H554">
        <f>ROUND(Calls[[#This Row],[Satisfactory Rating]],0)</f>
        <v>3</v>
      </c>
      <c r="I554" t="str" cm="1">
        <f t="array" ref="I554">_xlfn.IFS(Calls[[#This Row],[Duration (Min)]]&lt;=30,"Under 30 mins",Calls[[#This Row],[Duration (Min)]]&lt;=60,"Under 1h",Calls[[#This Row],[Duration (Min)]]&lt;=120,"Under 2",TRUE,"More than 2h")</f>
        <v>Under 2</v>
      </c>
      <c r="J554">
        <f>IF(MONTH(Calls[[#This Row],[Date of Call]])&lt;=3,YEAR(Calls[[#This Row],[Date of Call]]),YEAR(Calls[[#This Row],[Date of Call]])+1)</f>
        <v>2026</v>
      </c>
      <c r="K554" t="str">
        <f>TEXT(Calls[[#This Row],[Date of Call]],"dddd")</f>
        <v>Monday</v>
      </c>
      <c r="L554" t="str">
        <f>TEXT(Calls[[#This Row],[Date of Call]],"mmm")</f>
        <v>Apr</v>
      </c>
    </row>
    <row r="555" spans="1:12" x14ac:dyDescent="0.3">
      <c r="A555" t="s">
        <v>559</v>
      </c>
      <c r="B555" t="s">
        <v>1010</v>
      </c>
      <c r="C555">
        <v>154</v>
      </c>
      <c r="D555" t="s">
        <v>1027</v>
      </c>
      <c r="E555" t="s">
        <v>1143</v>
      </c>
      <c r="F555">
        <v>143</v>
      </c>
      <c r="G555">
        <v>2.2999999999999998</v>
      </c>
      <c r="H555">
        <f>ROUND(Calls[[#This Row],[Satisfactory Rating]],0)</f>
        <v>2</v>
      </c>
      <c r="I555" t="str" cm="1">
        <f t="array" ref="I555">_xlfn.IFS(Calls[[#This Row],[Duration (Min)]]&lt;=30,"Under 30 mins",Calls[[#This Row],[Duration (Min)]]&lt;=60,"Under 1h",Calls[[#This Row],[Duration (Min)]]&lt;=120,"Under 2",TRUE,"More than 2h")</f>
        <v>More than 2h</v>
      </c>
      <c r="J555">
        <f>IF(MONTH(Calls[[#This Row],[Date of Call]])&lt;=3,YEAR(Calls[[#This Row],[Date of Call]]),YEAR(Calls[[#This Row],[Date of Call]])+1)</f>
        <v>2026</v>
      </c>
      <c r="K555" t="str">
        <f>TEXT(Calls[[#This Row],[Date of Call]],"dddd")</f>
        <v>Monday</v>
      </c>
      <c r="L555" t="str">
        <f>TEXT(Calls[[#This Row],[Date of Call]],"mmm")</f>
        <v>Apr</v>
      </c>
    </row>
    <row r="556" spans="1:12" x14ac:dyDescent="0.3">
      <c r="A556" t="s">
        <v>560</v>
      </c>
      <c r="B556" t="s">
        <v>1008</v>
      </c>
      <c r="C556">
        <v>23</v>
      </c>
      <c r="D556" t="s">
        <v>1031</v>
      </c>
      <c r="E556" t="s">
        <v>1143</v>
      </c>
      <c r="F556">
        <v>59</v>
      </c>
      <c r="G556">
        <v>4.0999999999999996</v>
      </c>
      <c r="H556">
        <f>ROUND(Calls[[#This Row],[Satisfactory Rating]],0)</f>
        <v>4</v>
      </c>
      <c r="I556" t="str" cm="1">
        <f t="array" ref="I556">_xlfn.IFS(Calls[[#This Row],[Duration (Min)]]&lt;=30,"Under 30 mins",Calls[[#This Row],[Duration (Min)]]&lt;=60,"Under 1h",Calls[[#This Row],[Duration (Min)]]&lt;=120,"Under 2",TRUE,"More than 2h")</f>
        <v>Under 30 mins</v>
      </c>
      <c r="J556">
        <f>IF(MONTH(Calls[[#This Row],[Date of Call]])&lt;=3,YEAR(Calls[[#This Row],[Date of Call]]),YEAR(Calls[[#This Row],[Date of Call]])+1)</f>
        <v>2026</v>
      </c>
      <c r="K556" t="str">
        <f>TEXT(Calls[[#This Row],[Date of Call]],"dddd")</f>
        <v>Monday</v>
      </c>
      <c r="L556" t="str">
        <f>TEXT(Calls[[#This Row],[Date of Call]],"mmm")</f>
        <v>Apr</v>
      </c>
    </row>
    <row r="557" spans="1:12" x14ac:dyDescent="0.3">
      <c r="A557" t="s">
        <v>561</v>
      </c>
      <c r="B557" t="s">
        <v>1018</v>
      </c>
      <c r="C557">
        <v>90</v>
      </c>
      <c r="D557" t="s">
        <v>1026</v>
      </c>
      <c r="E557" t="s">
        <v>1144</v>
      </c>
      <c r="F557">
        <v>140</v>
      </c>
      <c r="G557">
        <v>3.5</v>
      </c>
      <c r="H557">
        <f>ROUND(Calls[[#This Row],[Satisfactory Rating]],0)</f>
        <v>4</v>
      </c>
      <c r="I557" t="str" cm="1">
        <f t="array" ref="I557">_xlfn.IFS(Calls[[#This Row],[Duration (Min)]]&lt;=30,"Under 30 mins",Calls[[#This Row],[Duration (Min)]]&lt;=60,"Under 1h",Calls[[#This Row],[Duration (Min)]]&lt;=120,"Under 2",TRUE,"More than 2h")</f>
        <v>Under 2</v>
      </c>
      <c r="J557">
        <f>IF(MONTH(Calls[[#This Row],[Date of Call]])&lt;=3,YEAR(Calls[[#This Row],[Date of Call]]),YEAR(Calls[[#This Row],[Date of Call]])+1)</f>
        <v>2026</v>
      </c>
      <c r="K557" t="str">
        <f>TEXT(Calls[[#This Row],[Date of Call]],"dddd")</f>
        <v>Tuesday</v>
      </c>
      <c r="L557" t="str">
        <f>TEXT(Calls[[#This Row],[Date of Call]],"mmm")</f>
        <v>Apr</v>
      </c>
    </row>
    <row r="558" spans="1:12" x14ac:dyDescent="0.3">
      <c r="A558" t="s">
        <v>562</v>
      </c>
      <c r="B558" t="s">
        <v>1020</v>
      </c>
      <c r="C558">
        <v>111</v>
      </c>
      <c r="D558" t="s">
        <v>1031</v>
      </c>
      <c r="E558" t="s">
        <v>1144</v>
      </c>
      <c r="F558">
        <v>82</v>
      </c>
      <c r="G558">
        <v>3.9</v>
      </c>
      <c r="H558">
        <f>ROUND(Calls[[#This Row],[Satisfactory Rating]],0)</f>
        <v>4</v>
      </c>
      <c r="I558" t="str" cm="1">
        <f t="array" ref="I558">_xlfn.IFS(Calls[[#This Row],[Duration (Min)]]&lt;=30,"Under 30 mins",Calls[[#This Row],[Duration (Min)]]&lt;=60,"Under 1h",Calls[[#This Row],[Duration (Min)]]&lt;=120,"Under 2",TRUE,"More than 2h")</f>
        <v>Under 2</v>
      </c>
      <c r="J558">
        <f>IF(MONTH(Calls[[#This Row],[Date of Call]])&lt;=3,YEAR(Calls[[#This Row],[Date of Call]]),YEAR(Calls[[#This Row],[Date of Call]])+1)</f>
        <v>2026</v>
      </c>
      <c r="K558" t="str">
        <f>TEXT(Calls[[#This Row],[Date of Call]],"dddd")</f>
        <v>Tuesday</v>
      </c>
      <c r="L558" t="str">
        <f>TEXT(Calls[[#This Row],[Date of Call]],"mmm")</f>
        <v>Apr</v>
      </c>
    </row>
    <row r="559" spans="1:12" x14ac:dyDescent="0.3">
      <c r="A559" t="s">
        <v>563</v>
      </c>
      <c r="B559" t="s">
        <v>1019</v>
      </c>
      <c r="C559">
        <v>70</v>
      </c>
      <c r="D559" t="s">
        <v>1031</v>
      </c>
      <c r="E559" t="s">
        <v>1144</v>
      </c>
      <c r="F559">
        <v>97</v>
      </c>
      <c r="G559">
        <v>2</v>
      </c>
      <c r="H559">
        <f>ROUND(Calls[[#This Row],[Satisfactory Rating]],0)</f>
        <v>2</v>
      </c>
      <c r="I559" t="str" cm="1">
        <f t="array" ref="I559">_xlfn.IFS(Calls[[#This Row],[Duration (Min)]]&lt;=30,"Under 30 mins",Calls[[#This Row],[Duration (Min)]]&lt;=60,"Under 1h",Calls[[#This Row],[Duration (Min)]]&lt;=120,"Under 2",TRUE,"More than 2h")</f>
        <v>Under 2</v>
      </c>
      <c r="J559">
        <f>IF(MONTH(Calls[[#This Row],[Date of Call]])&lt;=3,YEAR(Calls[[#This Row],[Date of Call]]),YEAR(Calls[[#This Row],[Date of Call]])+1)</f>
        <v>2026</v>
      </c>
      <c r="K559" t="str">
        <f>TEXT(Calls[[#This Row],[Date of Call]],"dddd")</f>
        <v>Tuesday</v>
      </c>
      <c r="L559" t="str">
        <f>TEXT(Calls[[#This Row],[Date of Call]],"mmm")</f>
        <v>Apr</v>
      </c>
    </row>
    <row r="560" spans="1:12" x14ac:dyDescent="0.3">
      <c r="A560" t="s">
        <v>564</v>
      </c>
      <c r="B560" t="s">
        <v>1007</v>
      </c>
      <c r="C560">
        <v>45</v>
      </c>
      <c r="D560" t="s">
        <v>1032</v>
      </c>
      <c r="E560" t="s">
        <v>1144</v>
      </c>
      <c r="F560">
        <v>48</v>
      </c>
      <c r="G560">
        <v>3.6</v>
      </c>
      <c r="H560">
        <f>ROUND(Calls[[#This Row],[Satisfactory Rating]],0)</f>
        <v>4</v>
      </c>
      <c r="I560" t="str" cm="1">
        <f t="array" ref="I560">_xlfn.IFS(Calls[[#This Row],[Duration (Min)]]&lt;=30,"Under 30 mins",Calls[[#This Row],[Duration (Min)]]&lt;=60,"Under 1h",Calls[[#This Row],[Duration (Min)]]&lt;=120,"Under 2",TRUE,"More than 2h")</f>
        <v>Under 1h</v>
      </c>
      <c r="J560">
        <f>IF(MONTH(Calls[[#This Row],[Date of Call]])&lt;=3,YEAR(Calls[[#This Row],[Date of Call]]),YEAR(Calls[[#This Row],[Date of Call]])+1)</f>
        <v>2026</v>
      </c>
      <c r="K560" t="str">
        <f>TEXT(Calls[[#This Row],[Date of Call]],"dddd")</f>
        <v>Tuesday</v>
      </c>
      <c r="L560" t="str">
        <f>TEXT(Calls[[#This Row],[Date of Call]],"mmm")</f>
        <v>Apr</v>
      </c>
    </row>
    <row r="561" spans="1:12" x14ac:dyDescent="0.3">
      <c r="A561" t="s">
        <v>565</v>
      </c>
      <c r="B561" t="s">
        <v>1006</v>
      </c>
      <c r="C561">
        <v>46</v>
      </c>
      <c r="D561" t="s">
        <v>1032</v>
      </c>
      <c r="E561" t="s">
        <v>1144</v>
      </c>
      <c r="F561">
        <v>130</v>
      </c>
      <c r="G561">
        <v>1.6</v>
      </c>
      <c r="H561">
        <f>ROUND(Calls[[#This Row],[Satisfactory Rating]],0)</f>
        <v>2</v>
      </c>
      <c r="I561" t="str" cm="1">
        <f t="array" ref="I561">_xlfn.IFS(Calls[[#This Row],[Duration (Min)]]&lt;=30,"Under 30 mins",Calls[[#This Row],[Duration (Min)]]&lt;=60,"Under 1h",Calls[[#This Row],[Duration (Min)]]&lt;=120,"Under 2",TRUE,"More than 2h")</f>
        <v>Under 1h</v>
      </c>
      <c r="J561">
        <f>IF(MONTH(Calls[[#This Row],[Date of Call]])&lt;=3,YEAR(Calls[[#This Row],[Date of Call]]),YEAR(Calls[[#This Row],[Date of Call]])+1)</f>
        <v>2026</v>
      </c>
      <c r="K561" t="str">
        <f>TEXT(Calls[[#This Row],[Date of Call]],"dddd")</f>
        <v>Tuesday</v>
      </c>
      <c r="L561" t="str">
        <f>TEXT(Calls[[#This Row],[Date of Call]],"mmm")</f>
        <v>Apr</v>
      </c>
    </row>
    <row r="562" spans="1:12" x14ac:dyDescent="0.3">
      <c r="A562" t="s">
        <v>566</v>
      </c>
      <c r="B562" t="s">
        <v>1014</v>
      </c>
      <c r="C562">
        <v>70</v>
      </c>
      <c r="D562" t="s">
        <v>1027</v>
      </c>
      <c r="E562" t="s">
        <v>1145</v>
      </c>
      <c r="F562">
        <v>104</v>
      </c>
      <c r="G562">
        <v>2.2000000000000002</v>
      </c>
      <c r="H562">
        <f>ROUND(Calls[[#This Row],[Satisfactory Rating]],0)</f>
        <v>2</v>
      </c>
      <c r="I562" t="str" cm="1">
        <f t="array" ref="I562">_xlfn.IFS(Calls[[#This Row],[Duration (Min)]]&lt;=30,"Under 30 mins",Calls[[#This Row],[Duration (Min)]]&lt;=60,"Under 1h",Calls[[#This Row],[Duration (Min)]]&lt;=120,"Under 2",TRUE,"More than 2h")</f>
        <v>Under 2</v>
      </c>
      <c r="J562">
        <f>IF(MONTH(Calls[[#This Row],[Date of Call]])&lt;=3,YEAR(Calls[[#This Row],[Date of Call]]),YEAR(Calls[[#This Row],[Date of Call]])+1)</f>
        <v>2026</v>
      </c>
      <c r="K562" t="str">
        <f>TEXT(Calls[[#This Row],[Date of Call]],"dddd")</f>
        <v>Wednesday</v>
      </c>
      <c r="L562" t="str">
        <f>TEXT(Calls[[#This Row],[Date of Call]],"mmm")</f>
        <v>Apr</v>
      </c>
    </row>
    <row r="563" spans="1:12" x14ac:dyDescent="0.3">
      <c r="A563" t="s">
        <v>567</v>
      </c>
      <c r="B563" t="s">
        <v>1015</v>
      </c>
      <c r="C563">
        <v>123</v>
      </c>
      <c r="D563" t="s">
        <v>1027</v>
      </c>
      <c r="E563" t="s">
        <v>1145</v>
      </c>
      <c r="F563">
        <v>97</v>
      </c>
      <c r="G563">
        <v>3</v>
      </c>
      <c r="H563">
        <f>ROUND(Calls[[#This Row],[Satisfactory Rating]],0)</f>
        <v>3</v>
      </c>
      <c r="I563" t="str" cm="1">
        <f t="array" ref="I563">_xlfn.IFS(Calls[[#This Row],[Duration (Min)]]&lt;=30,"Under 30 mins",Calls[[#This Row],[Duration (Min)]]&lt;=60,"Under 1h",Calls[[#This Row],[Duration (Min)]]&lt;=120,"Under 2",TRUE,"More than 2h")</f>
        <v>More than 2h</v>
      </c>
      <c r="J563">
        <f>IF(MONTH(Calls[[#This Row],[Date of Call]])&lt;=3,YEAR(Calls[[#This Row],[Date of Call]]),YEAR(Calls[[#This Row],[Date of Call]])+1)</f>
        <v>2026</v>
      </c>
      <c r="K563" t="str">
        <f>TEXT(Calls[[#This Row],[Date of Call]],"dddd")</f>
        <v>Wednesday</v>
      </c>
      <c r="L563" t="str">
        <f>TEXT(Calls[[#This Row],[Date of Call]],"mmm")</f>
        <v>Apr</v>
      </c>
    </row>
    <row r="564" spans="1:12" x14ac:dyDescent="0.3">
      <c r="A564" t="s">
        <v>568</v>
      </c>
      <c r="B564" t="s">
        <v>1011</v>
      </c>
      <c r="C564">
        <v>104</v>
      </c>
      <c r="D564" t="s">
        <v>1032</v>
      </c>
      <c r="E564" t="s">
        <v>1145</v>
      </c>
      <c r="F564">
        <v>34</v>
      </c>
      <c r="G564">
        <v>4.9000000000000004</v>
      </c>
      <c r="H564">
        <f>ROUND(Calls[[#This Row],[Satisfactory Rating]],0)</f>
        <v>5</v>
      </c>
      <c r="I564" t="str" cm="1">
        <f t="array" ref="I564">_xlfn.IFS(Calls[[#This Row],[Duration (Min)]]&lt;=30,"Under 30 mins",Calls[[#This Row],[Duration (Min)]]&lt;=60,"Under 1h",Calls[[#This Row],[Duration (Min)]]&lt;=120,"Under 2",TRUE,"More than 2h")</f>
        <v>Under 2</v>
      </c>
      <c r="J564">
        <f>IF(MONTH(Calls[[#This Row],[Date of Call]])&lt;=3,YEAR(Calls[[#This Row],[Date of Call]]),YEAR(Calls[[#This Row],[Date of Call]])+1)</f>
        <v>2026</v>
      </c>
      <c r="K564" t="str">
        <f>TEXT(Calls[[#This Row],[Date of Call]],"dddd")</f>
        <v>Wednesday</v>
      </c>
      <c r="L564" t="str">
        <f>TEXT(Calls[[#This Row],[Date of Call]],"mmm")</f>
        <v>Apr</v>
      </c>
    </row>
    <row r="565" spans="1:12" x14ac:dyDescent="0.3">
      <c r="A565" t="s">
        <v>569</v>
      </c>
      <c r="B565" t="s">
        <v>1007</v>
      </c>
      <c r="C565">
        <v>69</v>
      </c>
      <c r="D565" t="s">
        <v>1031</v>
      </c>
      <c r="E565" t="s">
        <v>1145</v>
      </c>
      <c r="F565">
        <v>40</v>
      </c>
      <c r="G565">
        <v>1.9</v>
      </c>
      <c r="H565">
        <f>ROUND(Calls[[#This Row],[Satisfactory Rating]],0)</f>
        <v>2</v>
      </c>
      <c r="I565" t="str" cm="1">
        <f t="array" ref="I565">_xlfn.IFS(Calls[[#This Row],[Duration (Min)]]&lt;=30,"Under 30 mins",Calls[[#This Row],[Duration (Min)]]&lt;=60,"Under 1h",Calls[[#This Row],[Duration (Min)]]&lt;=120,"Under 2",TRUE,"More than 2h")</f>
        <v>Under 2</v>
      </c>
      <c r="J565">
        <f>IF(MONTH(Calls[[#This Row],[Date of Call]])&lt;=3,YEAR(Calls[[#This Row],[Date of Call]]),YEAR(Calls[[#This Row],[Date of Call]])+1)</f>
        <v>2026</v>
      </c>
      <c r="K565" t="str">
        <f>TEXT(Calls[[#This Row],[Date of Call]],"dddd")</f>
        <v>Wednesday</v>
      </c>
      <c r="L565" t="str">
        <f>TEXT(Calls[[#This Row],[Date of Call]],"mmm")</f>
        <v>Apr</v>
      </c>
    </row>
    <row r="566" spans="1:12" x14ac:dyDescent="0.3">
      <c r="A566" t="s">
        <v>570</v>
      </c>
      <c r="B566" t="s">
        <v>1024</v>
      </c>
      <c r="C566">
        <v>116</v>
      </c>
      <c r="D566" t="s">
        <v>1031</v>
      </c>
      <c r="E566" t="s">
        <v>1145</v>
      </c>
      <c r="F566">
        <v>23</v>
      </c>
      <c r="G566">
        <v>3.5</v>
      </c>
      <c r="H566">
        <f>ROUND(Calls[[#This Row],[Satisfactory Rating]],0)</f>
        <v>4</v>
      </c>
      <c r="I566" t="str" cm="1">
        <f t="array" ref="I566">_xlfn.IFS(Calls[[#This Row],[Duration (Min)]]&lt;=30,"Under 30 mins",Calls[[#This Row],[Duration (Min)]]&lt;=60,"Under 1h",Calls[[#This Row],[Duration (Min)]]&lt;=120,"Under 2",TRUE,"More than 2h")</f>
        <v>Under 2</v>
      </c>
      <c r="J566">
        <f>IF(MONTH(Calls[[#This Row],[Date of Call]])&lt;=3,YEAR(Calls[[#This Row],[Date of Call]]),YEAR(Calls[[#This Row],[Date of Call]])+1)</f>
        <v>2026</v>
      </c>
      <c r="K566" t="str">
        <f>TEXT(Calls[[#This Row],[Date of Call]],"dddd")</f>
        <v>Wednesday</v>
      </c>
      <c r="L566" t="str">
        <f>TEXT(Calls[[#This Row],[Date of Call]],"mmm")</f>
        <v>Apr</v>
      </c>
    </row>
    <row r="567" spans="1:12" x14ac:dyDescent="0.3">
      <c r="A567" t="s">
        <v>571</v>
      </c>
      <c r="B567" t="s">
        <v>1016</v>
      </c>
      <c r="C567">
        <v>67</v>
      </c>
      <c r="D567" t="s">
        <v>1030</v>
      </c>
      <c r="E567" t="s">
        <v>1146</v>
      </c>
      <c r="F567">
        <v>106</v>
      </c>
      <c r="G567">
        <v>1.8</v>
      </c>
      <c r="H567">
        <f>ROUND(Calls[[#This Row],[Satisfactory Rating]],0)</f>
        <v>2</v>
      </c>
      <c r="I567" t="str" cm="1">
        <f t="array" ref="I567">_xlfn.IFS(Calls[[#This Row],[Duration (Min)]]&lt;=30,"Under 30 mins",Calls[[#This Row],[Duration (Min)]]&lt;=60,"Under 1h",Calls[[#This Row],[Duration (Min)]]&lt;=120,"Under 2",TRUE,"More than 2h")</f>
        <v>Under 2</v>
      </c>
      <c r="J567">
        <f>IF(MONTH(Calls[[#This Row],[Date of Call]])&lt;=3,YEAR(Calls[[#This Row],[Date of Call]]),YEAR(Calls[[#This Row],[Date of Call]])+1)</f>
        <v>2026</v>
      </c>
      <c r="K567" t="str">
        <f>TEXT(Calls[[#This Row],[Date of Call]],"dddd")</f>
        <v>Thursday</v>
      </c>
      <c r="L567" t="str">
        <f>TEXT(Calls[[#This Row],[Date of Call]],"mmm")</f>
        <v>Apr</v>
      </c>
    </row>
    <row r="568" spans="1:12" x14ac:dyDescent="0.3">
      <c r="A568" t="s">
        <v>572</v>
      </c>
      <c r="B568" t="s">
        <v>1013</v>
      </c>
      <c r="C568">
        <v>59</v>
      </c>
      <c r="D568" t="s">
        <v>1031</v>
      </c>
      <c r="E568" t="s">
        <v>1146</v>
      </c>
      <c r="F568">
        <v>137</v>
      </c>
      <c r="G568">
        <v>1.1000000000000001</v>
      </c>
      <c r="H568">
        <f>ROUND(Calls[[#This Row],[Satisfactory Rating]],0)</f>
        <v>1</v>
      </c>
      <c r="I568" t="str" cm="1">
        <f t="array" ref="I568">_xlfn.IFS(Calls[[#This Row],[Duration (Min)]]&lt;=30,"Under 30 mins",Calls[[#This Row],[Duration (Min)]]&lt;=60,"Under 1h",Calls[[#This Row],[Duration (Min)]]&lt;=120,"Under 2",TRUE,"More than 2h")</f>
        <v>Under 1h</v>
      </c>
      <c r="J568">
        <f>IF(MONTH(Calls[[#This Row],[Date of Call]])&lt;=3,YEAR(Calls[[#This Row],[Date of Call]]),YEAR(Calls[[#This Row],[Date of Call]])+1)</f>
        <v>2026</v>
      </c>
      <c r="K568" t="str">
        <f>TEXT(Calls[[#This Row],[Date of Call]],"dddd")</f>
        <v>Thursday</v>
      </c>
      <c r="L568" t="str">
        <f>TEXT(Calls[[#This Row],[Date of Call]],"mmm")</f>
        <v>Apr</v>
      </c>
    </row>
    <row r="569" spans="1:12" x14ac:dyDescent="0.3">
      <c r="A569" t="s">
        <v>573</v>
      </c>
      <c r="B569" t="s">
        <v>1016</v>
      </c>
      <c r="C569">
        <v>13</v>
      </c>
      <c r="D569" t="s">
        <v>1031</v>
      </c>
      <c r="E569" t="s">
        <v>1146</v>
      </c>
      <c r="F569">
        <v>128</v>
      </c>
      <c r="G569">
        <v>3.2</v>
      </c>
      <c r="H569">
        <f>ROUND(Calls[[#This Row],[Satisfactory Rating]],0)</f>
        <v>3</v>
      </c>
      <c r="I569" t="str" cm="1">
        <f t="array" ref="I569">_xlfn.IFS(Calls[[#This Row],[Duration (Min)]]&lt;=30,"Under 30 mins",Calls[[#This Row],[Duration (Min)]]&lt;=60,"Under 1h",Calls[[#This Row],[Duration (Min)]]&lt;=120,"Under 2",TRUE,"More than 2h")</f>
        <v>Under 30 mins</v>
      </c>
      <c r="J569">
        <f>IF(MONTH(Calls[[#This Row],[Date of Call]])&lt;=3,YEAR(Calls[[#This Row],[Date of Call]]),YEAR(Calls[[#This Row],[Date of Call]])+1)</f>
        <v>2026</v>
      </c>
      <c r="K569" t="str">
        <f>TEXT(Calls[[#This Row],[Date of Call]],"dddd")</f>
        <v>Thursday</v>
      </c>
      <c r="L569" t="str">
        <f>TEXT(Calls[[#This Row],[Date of Call]],"mmm")</f>
        <v>Apr</v>
      </c>
    </row>
    <row r="570" spans="1:12" x14ac:dyDescent="0.3">
      <c r="A570" t="s">
        <v>574</v>
      </c>
      <c r="B570" t="s">
        <v>1017</v>
      </c>
      <c r="C570">
        <v>16</v>
      </c>
      <c r="D570" t="s">
        <v>1027</v>
      </c>
      <c r="E570" t="s">
        <v>1146</v>
      </c>
      <c r="F570">
        <v>24</v>
      </c>
      <c r="G570">
        <v>4.4000000000000004</v>
      </c>
      <c r="H570">
        <f>ROUND(Calls[[#This Row],[Satisfactory Rating]],0)</f>
        <v>4</v>
      </c>
      <c r="I570" t="str" cm="1">
        <f t="array" ref="I570">_xlfn.IFS(Calls[[#This Row],[Duration (Min)]]&lt;=30,"Under 30 mins",Calls[[#This Row],[Duration (Min)]]&lt;=60,"Under 1h",Calls[[#This Row],[Duration (Min)]]&lt;=120,"Under 2",TRUE,"More than 2h")</f>
        <v>Under 30 mins</v>
      </c>
      <c r="J570">
        <f>IF(MONTH(Calls[[#This Row],[Date of Call]])&lt;=3,YEAR(Calls[[#This Row],[Date of Call]]),YEAR(Calls[[#This Row],[Date of Call]])+1)</f>
        <v>2026</v>
      </c>
      <c r="K570" t="str">
        <f>TEXT(Calls[[#This Row],[Date of Call]],"dddd")</f>
        <v>Thursday</v>
      </c>
      <c r="L570" t="str">
        <f>TEXT(Calls[[#This Row],[Date of Call]],"mmm")</f>
        <v>Apr</v>
      </c>
    </row>
    <row r="571" spans="1:12" x14ac:dyDescent="0.3">
      <c r="A571" t="s">
        <v>575</v>
      </c>
      <c r="B571" t="s">
        <v>1025</v>
      </c>
      <c r="C571">
        <v>128</v>
      </c>
      <c r="D571" t="s">
        <v>1031</v>
      </c>
      <c r="E571" t="s">
        <v>1146</v>
      </c>
      <c r="F571">
        <v>145</v>
      </c>
      <c r="G571">
        <v>3.2</v>
      </c>
      <c r="H571">
        <f>ROUND(Calls[[#This Row],[Satisfactory Rating]],0)</f>
        <v>3</v>
      </c>
      <c r="I571" t="str" cm="1">
        <f t="array" ref="I571">_xlfn.IFS(Calls[[#This Row],[Duration (Min)]]&lt;=30,"Under 30 mins",Calls[[#This Row],[Duration (Min)]]&lt;=60,"Under 1h",Calls[[#This Row],[Duration (Min)]]&lt;=120,"Under 2",TRUE,"More than 2h")</f>
        <v>More than 2h</v>
      </c>
      <c r="J571">
        <f>IF(MONTH(Calls[[#This Row],[Date of Call]])&lt;=3,YEAR(Calls[[#This Row],[Date of Call]]),YEAR(Calls[[#This Row],[Date of Call]])+1)</f>
        <v>2026</v>
      </c>
      <c r="K571" t="str">
        <f>TEXT(Calls[[#This Row],[Date of Call]],"dddd")</f>
        <v>Thursday</v>
      </c>
      <c r="L571" t="str">
        <f>TEXT(Calls[[#This Row],[Date of Call]],"mmm")</f>
        <v>Apr</v>
      </c>
    </row>
    <row r="572" spans="1:12" x14ac:dyDescent="0.3">
      <c r="A572" t="s">
        <v>576</v>
      </c>
      <c r="B572" t="s">
        <v>1018</v>
      </c>
      <c r="C572">
        <v>89</v>
      </c>
      <c r="D572" t="s">
        <v>1030</v>
      </c>
      <c r="E572" t="s">
        <v>1147</v>
      </c>
      <c r="F572">
        <v>35</v>
      </c>
      <c r="G572">
        <v>3.3</v>
      </c>
      <c r="H572">
        <f>ROUND(Calls[[#This Row],[Satisfactory Rating]],0)</f>
        <v>3</v>
      </c>
      <c r="I572" t="str" cm="1">
        <f t="array" ref="I572">_xlfn.IFS(Calls[[#This Row],[Duration (Min)]]&lt;=30,"Under 30 mins",Calls[[#This Row],[Duration (Min)]]&lt;=60,"Under 1h",Calls[[#This Row],[Duration (Min)]]&lt;=120,"Under 2",TRUE,"More than 2h")</f>
        <v>Under 2</v>
      </c>
      <c r="J572">
        <f>IF(MONTH(Calls[[#This Row],[Date of Call]])&lt;=3,YEAR(Calls[[#This Row],[Date of Call]]),YEAR(Calls[[#This Row],[Date of Call]])+1)</f>
        <v>2026</v>
      </c>
      <c r="K572" t="str">
        <f>TEXT(Calls[[#This Row],[Date of Call]],"dddd")</f>
        <v>Friday</v>
      </c>
      <c r="L572" t="str">
        <f>TEXT(Calls[[#This Row],[Date of Call]],"mmm")</f>
        <v>Apr</v>
      </c>
    </row>
    <row r="573" spans="1:12" x14ac:dyDescent="0.3">
      <c r="A573" t="s">
        <v>577</v>
      </c>
      <c r="B573" t="s">
        <v>1016</v>
      </c>
      <c r="C573">
        <v>47</v>
      </c>
      <c r="D573" t="s">
        <v>1031</v>
      </c>
      <c r="E573" t="s">
        <v>1147</v>
      </c>
      <c r="F573">
        <v>63</v>
      </c>
      <c r="G573">
        <v>3.8</v>
      </c>
      <c r="H573">
        <f>ROUND(Calls[[#This Row],[Satisfactory Rating]],0)</f>
        <v>4</v>
      </c>
      <c r="I573" t="str" cm="1">
        <f t="array" ref="I573">_xlfn.IFS(Calls[[#This Row],[Duration (Min)]]&lt;=30,"Under 30 mins",Calls[[#This Row],[Duration (Min)]]&lt;=60,"Under 1h",Calls[[#This Row],[Duration (Min)]]&lt;=120,"Under 2",TRUE,"More than 2h")</f>
        <v>Under 1h</v>
      </c>
      <c r="J573">
        <f>IF(MONTH(Calls[[#This Row],[Date of Call]])&lt;=3,YEAR(Calls[[#This Row],[Date of Call]]),YEAR(Calls[[#This Row],[Date of Call]])+1)</f>
        <v>2026</v>
      </c>
      <c r="K573" t="str">
        <f>TEXT(Calls[[#This Row],[Date of Call]],"dddd")</f>
        <v>Friday</v>
      </c>
      <c r="L573" t="str">
        <f>TEXT(Calls[[#This Row],[Date of Call]],"mmm")</f>
        <v>Apr</v>
      </c>
    </row>
    <row r="574" spans="1:12" x14ac:dyDescent="0.3">
      <c r="A574" t="s">
        <v>578</v>
      </c>
      <c r="B574" t="s">
        <v>1012</v>
      </c>
      <c r="C574">
        <v>96</v>
      </c>
      <c r="D574" t="s">
        <v>1030</v>
      </c>
      <c r="E574" t="s">
        <v>1147</v>
      </c>
      <c r="F574">
        <v>42</v>
      </c>
      <c r="G574">
        <v>1.4</v>
      </c>
      <c r="H574">
        <f>ROUND(Calls[[#This Row],[Satisfactory Rating]],0)</f>
        <v>1</v>
      </c>
      <c r="I574" t="str" cm="1">
        <f t="array" ref="I574">_xlfn.IFS(Calls[[#This Row],[Duration (Min)]]&lt;=30,"Under 30 mins",Calls[[#This Row],[Duration (Min)]]&lt;=60,"Under 1h",Calls[[#This Row],[Duration (Min)]]&lt;=120,"Under 2",TRUE,"More than 2h")</f>
        <v>Under 2</v>
      </c>
      <c r="J574">
        <f>IF(MONTH(Calls[[#This Row],[Date of Call]])&lt;=3,YEAR(Calls[[#This Row],[Date of Call]]),YEAR(Calls[[#This Row],[Date of Call]])+1)</f>
        <v>2026</v>
      </c>
      <c r="K574" t="str">
        <f>TEXT(Calls[[#This Row],[Date of Call]],"dddd")</f>
        <v>Friday</v>
      </c>
      <c r="L574" t="str">
        <f>TEXT(Calls[[#This Row],[Date of Call]],"mmm")</f>
        <v>Apr</v>
      </c>
    </row>
    <row r="575" spans="1:12" x14ac:dyDescent="0.3">
      <c r="A575" t="s">
        <v>579</v>
      </c>
      <c r="B575" t="s">
        <v>1010</v>
      </c>
      <c r="C575">
        <v>105</v>
      </c>
      <c r="D575" t="s">
        <v>1028</v>
      </c>
      <c r="E575" t="s">
        <v>1147</v>
      </c>
      <c r="F575">
        <v>20</v>
      </c>
      <c r="G575">
        <v>1.5</v>
      </c>
      <c r="H575">
        <f>ROUND(Calls[[#This Row],[Satisfactory Rating]],0)</f>
        <v>2</v>
      </c>
      <c r="I575" t="str" cm="1">
        <f t="array" ref="I575">_xlfn.IFS(Calls[[#This Row],[Duration (Min)]]&lt;=30,"Under 30 mins",Calls[[#This Row],[Duration (Min)]]&lt;=60,"Under 1h",Calls[[#This Row],[Duration (Min)]]&lt;=120,"Under 2",TRUE,"More than 2h")</f>
        <v>Under 2</v>
      </c>
      <c r="J575">
        <f>IF(MONTH(Calls[[#This Row],[Date of Call]])&lt;=3,YEAR(Calls[[#This Row],[Date of Call]]),YEAR(Calls[[#This Row],[Date of Call]])+1)</f>
        <v>2026</v>
      </c>
      <c r="K575" t="str">
        <f>TEXT(Calls[[#This Row],[Date of Call]],"dddd")</f>
        <v>Friday</v>
      </c>
      <c r="L575" t="str">
        <f>TEXT(Calls[[#This Row],[Date of Call]],"mmm")</f>
        <v>Apr</v>
      </c>
    </row>
    <row r="576" spans="1:12" x14ac:dyDescent="0.3">
      <c r="A576" t="s">
        <v>580</v>
      </c>
      <c r="B576" t="s">
        <v>1025</v>
      </c>
      <c r="C576">
        <v>35</v>
      </c>
      <c r="D576" t="s">
        <v>1026</v>
      </c>
      <c r="E576" t="s">
        <v>1147</v>
      </c>
      <c r="F576">
        <v>144</v>
      </c>
      <c r="G576">
        <v>2.2999999999999998</v>
      </c>
      <c r="H576">
        <f>ROUND(Calls[[#This Row],[Satisfactory Rating]],0)</f>
        <v>2</v>
      </c>
      <c r="I576" t="str" cm="1">
        <f t="array" ref="I576">_xlfn.IFS(Calls[[#This Row],[Duration (Min)]]&lt;=30,"Under 30 mins",Calls[[#This Row],[Duration (Min)]]&lt;=60,"Under 1h",Calls[[#This Row],[Duration (Min)]]&lt;=120,"Under 2",TRUE,"More than 2h")</f>
        <v>Under 1h</v>
      </c>
      <c r="J576">
        <f>IF(MONTH(Calls[[#This Row],[Date of Call]])&lt;=3,YEAR(Calls[[#This Row],[Date of Call]]),YEAR(Calls[[#This Row],[Date of Call]])+1)</f>
        <v>2026</v>
      </c>
      <c r="K576" t="str">
        <f>TEXT(Calls[[#This Row],[Date of Call]],"dddd")</f>
        <v>Friday</v>
      </c>
      <c r="L576" t="str">
        <f>TEXT(Calls[[#This Row],[Date of Call]],"mmm")</f>
        <v>Apr</v>
      </c>
    </row>
    <row r="577" spans="1:12" x14ac:dyDescent="0.3">
      <c r="A577" t="s">
        <v>581</v>
      </c>
      <c r="B577" t="s">
        <v>1009</v>
      </c>
      <c r="C577">
        <v>115</v>
      </c>
      <c r="D577" t="s">
        <v>1029</v>
      </c>
      <c r="E577" t="s">
        <v>1148</v>
      </c>
      <c r="F577">
        <v>131</v>
      </c>
      <c r="G577">
        <v>4</v>
      </c>
      <c r="H577">
        <f>ROUND(Calls[[#This Row],[Satisfactory Rating]],0)</f>
        <v>4</v>
      </c>
      <c r="I577" t="str" cm="1">
        <f t="array" ref="I577">_xlfn.IFS(Calls[[#This Row],[Duration (Min)]]&lt;=30,"Under 30 mins",Calls[[#This Row],[Duration (Min)]]&lt;=60,"Under 1h",Calls[[#This Row],[Duration (Min)]]&lt;=120,"Under 2",TRUE,"More than 2h")</f>
        <v>Under 2</v>
      </c>
      <c r="J577">
        <f>IF(MONTH(Calls[[#This Row],[Date of Call]])&lt;=3,YEAR(Calls[[#This Row],[Date of Call]]),YEAR(Calls[[#This Row],[Date of Call]])+1)</f>
        <v>2026</v>
      </c>
      <c r="K577" t="str">
        <f>TEXT(Calls[[#This Row],[Date of Call]],"dddd")</f>
        <v>Saturday</v>
      </c>
      <c r="L577" t="str">
        <f>TEXT(Calls[[#This Row],[Date of Call]],"mmm")</f>
        <v>Apr</v>
      </c>
    </row>
    <row r="578" spans="1:12" x14ac:dyDescent="0.3">
      <c r="A578" t="s">
        <v>582</v>
      </c>
      <c r="B578" t="s">
        <v>1016</v>
      </c>
      <c r="C578">
        <v>130</v>
      </c>
      <c r="D578" t="s">
        <v>1031</v>
      </c>
      <c r="E578" t="s">
        <v>1148</v>
      </c>
      <c r="F578">
        <v>136</v>
      </c>
      <c r="G578">
        <v>2.6</v>
      </c>
      <c r="H578">
        <f>ROUND(Calls[[#This Row],[Satisfactory Rating]],0)</f>
        <v>3</v>
      </c>
      <c r="I578" t="str" cm="1">
        <f t="array" ref="I578">_xlfn.IFS(Calls[[#This Row],[Duration (Min)]]&lt;=30,"Under 30 mins",Calls[[#This Row],[Duration (Min)]]&lt;=60,"Under 1h",Calls[[#This Row],[Duration (Min)]]&lt;=120,"Under 2",TRUE,"More than 2h")</f>
        <v>More than 2h</v>
      </c>
      <c r="J578">
        <f>IF(MONTH(Calls[[#This Row],[Date of Call]])&lt;=3,YEAR(Calls[[#This Row],[Date of Call]]),YEAR(Calls[[#This Row],[Date of Call]])+1)</f>
        <v>2026</v>
      </c>
      <c r="K578" t="str">
        <f>TEXT(Calls[[#This Row],[Date of Call]],"dddd")</f>
        <v>Saturday</v>
      </c>
      <c r="L578" t="str">
        <f>TEXT(Calls[[#This Row],[Date of Call]],"mmm")</f>
        <v>Apr</v>
      </c>
    </row>
    <row r="579" spans="1:12" x14ac:dyDescent="0.3">
      <c r="A579" t="s">
        <v>583</v>
      </c>
      <c r="B579" t="s">
        <v>1011</v>
      </c>
      <c r="C579">
        <v>144</v>
      </c>
      <c r="D579" t="s">
        <v>1031</v>
      </c>
      <c r="E579" t="s">
        <v>1148</v>
      </c>
      <c r="F579">
        <v>149</v>
      </c>
      <c r="G579">
        <v>1.2</v>
      </c>
      <c r="H579">
        <f>ROUND(Calls[[#This Row],[Satisfactory Rating]],0)</f>
        <v>1</v>
      </c>
      <c r="I579" t="str" cm="1">
        <f t="array" ref="I579">_xlfn.IFS(Calls[[#This Row],[Duration (Min)]]&lt;=30,"Under 30 mins",Calls[[#This Row],[Duration (Min)]]&lt;=60,"Under 1h",Calls[[#This Row],[Duration (Min)]]&lt;=120,"Under 2",TRUE,"More than 2h")</f>
        <v>More than 2h</v>
      </c>
      <c r="J579">
        <f>IF(MONTH(Calls[[#This Row],[Date of Call]])&lt;=3,YEAR(Calls[[#This Row],[Date of Call]]),YEAR(Calls[[#This Row],[Date of Call]])+1)</f>
        <v>2026</v>
      </c>
      <c r="K579" t="str">
        <f>TEXT(Calls[[#This Row],[Date of Call]],"dddd")</f>
        <v>Saturday</v>
      </c>
      <c r="L579" t="str">
        <f>TEXT(Calls[[#This Row],[Date of Call]],"mmm")</f>
        <v>Apr</v>
      </c>
    </row>
    <row r="580" spans="1:12" x14ac:dyDescent="0.3">
      <c r="A580" t="s">
        <v>584</v>
      </c>
      <c r="B580" t="s">
        <v>1016</v>
      </c>
      <c r="C580">
        <v>80</v>
      </c>
      <c r="D580" t="s">
        <v>1030</v>
      </c>
      <c r="E580" t="s">
        <v>1148</v>
      </c>
      <c r="F580">
        <v>93</v>
      </c>
      <c r="G580">
        <v>4.2</v>
      </c>
      <c r="H580">
        <f>ROUND(Calls[[#This Row],[Satisfactory Rating]],0)</f>
        <v>4</v>
      </c>
      <c r="I580" t="str" cm="1">
        <f t="array" ref="I580">_xlfn.IFS(Calls[[#This Row],[Duration (Min)]]&lt;=30,"Under 30 mins",Calls[[#This Row],[Duration (Min)]]&lt;=60,"Under 1h",Calls[[#This Row],[Duration (Min)]]&lt;=120,"Under 2",TRUE,"More than 2h")</f>
        <v>Under 2</v>
      </c>
      <c r="J580">
        <f>IF(MONTH(Calls[[#This Row],[Date of Call]])&lt;=3,YEAR(Calls[[#This Row],[Date of Call]]),YEAR(Calls[[#This Row],[Date of Call]])+1)</f>
        <v>2026</v>
      </c>
      <c r="K580" t="str">
        <f>TEXT(Calls[[#This Row],[Date of Call]],"dddd")</f>
        <v>Saturday</v>
      </c>
      <c r="L580" t="str">
        <f>TEXT(Calls[[#This Row],[Date of Call]],"mmm")</f>
        <v>Apr</v>
      </c>
    </row>
    <row r="581" spans="1:12" x14ac:dyDescent="0.3">
      <c r="A581" t="s">
        <v>585</v>
      </c>
      <c r="B581" t="s">
        <v>1009</v>
      </c>
      <c r="C581">
        <v>143</v>
      </c>
      <c r="D581" t="s">
        <v>1030</v>
      </c>
      <c r="E581" t="s">
        <v>1148</v>
      </c>
      <c r="F581">
        <v>146</v>
      </c>
      <c r="G581">
        <v>4.5999999999999996</v>
      </c>
      <c r="H581">
        <f>ROUND(Calls[[#This Row],[Satisfactory Rating]],0)</f>
        <v>5</v>
      </c>
      <c r="I581" t="str" cm="1">
        <f t="array" ref="I581">_xlfn.IFS(Calls[[#This Row],[Duration (Min)]]&lt;=30,"Under 30 mins",Calls[[#This Row],[Duration (Min)]]&lt;=60,"Under 1h",Calls[[#This Row],[Duration (Min)]]&lt;=120,"Under 2",TRUE,"More than 2h")</f>
        <v>More than 2h</v>
      </c>
      <c r="J581">
        <f>IF(MONTH(Calls[[#This Row],[Date of Call]])&lt;=3,YEAR(Calls[[#This Row],[Date of Call]]),YEAR(Calls[[#This Row],[Date of Call]])+1)</f>
        <v>2026</v>
      </c>
      <c r="K581" t="str">
        <f>TEXT(Calls[[#This Row],[Date of Call]],"dddd")</f>
        <v>Saturday</v>
      </c>
      <c r="L581" t="str">
        <f>TEXT(Calls[[#This Row],[Date of Call]],"mmm")</f>
        <v>Apr</v>
      </c>
    </row>
    <row r="582" spans="1:12" x14ac:dyDescent="0.3">
      <c r="A582" t="s">
        <v>586</v>
      </c>
      <c r="B582" t="s">
        <v>1010</v>
      </c>
      <c r="C582">
        <v>44</v>
      </c>
      <c r="D582" t="s">
        <v>1028</v>
      </c>
      <c r="E582" t="s">
        <v>1149</v>
      </c>
      <c r="F582">
        <v>123</v>
      </c>
      <c r="G582">
        <v>3.5</v>
      </c>
      <c r="H582">
        <f>ROUND(Calls[[#This Row],[Satisfactory Rating]],0)</f>
        <v>4</v>
      </c>
      <c r="I582" t="str" cm="1">
        <f t="array" ref="I582">_xlfn.IFS(Calls[[#This Row],[Duration (Min)]]&lt;=30,"Under 30 mins",Calls[[#This Row],[Duration (Min)]]&lt;=60,"Under 1h",Calls[[#This Row],[Duration (Min)]]&lt;=120,"Under 2",TRUE,"More than 2h")</f>
        <v>Under 1h</v>
      </c>
      <c r="J582">
        <f>IF(MONTH(Calls[[#This Row],[Date of Call]])&lt;=3,YEAR(Calls[[#This Row],[Date of Call]]),YEAR(Calls[[#This Row],[Date of Call]])+1)</f>
        <v>2026</v>
      </c>
      <c r="K582" t="str">
        <f>TEXT(Calls[[#This Row],[Date of Call]],"dddd")</f>
        <v>Sunday</v>
      </c>
      <c r="L582" t="str">
        <f>TEXT(Calls[[#This Row],[Date of Call]],"mmm")</f>
        <v>Apr</v>
      </c>
    </row>
    <row r="583" spans="1:12" x14ac:dyDescent="0.3">
      <c r="A583" t="s">
        <v>587</v>
      </c>
      <c r="B583" t="s">
        <v>1017</v>
      </c>
      <c r="C583">
        <v>66</v>
      </c>
      <c r="D583" t="s">
        <v>1027</v>
      </c>
      <c r="E583" t="s">
        <v>1149</v>
      </c>
      <c r="F583">
        <v>33</v>
      </c>
      <c r="G583">
        <v>4</v>
      </c>
      <c r="H583">
        <f>ROUND(Calls[[#This Row],[Satisfactory Rating]],0)</f>
        <v>4</v>
      </c>
      <c r="I583" t="str" cm="1">
        <f t="array" ref="I583">_xlfn.IFS(Calls[[#This Row],[Duration (Min)]]&lt;=30,"Under 30 mins",Calls[[#This Row],[Duration (Min)]]&lt;=60,"Under 1h",Calls[[#This Row],[Duration (Min)]]&lt;=120,"Under 2",TRUE,"More than 2h")</f>
        <v>Under 2</v>
      </c>
      <c r="J583">
        <f>IF(MONTH(Calls[[#This Row],[Date of Call]])&lt;=3,YEAR(Calls[[#This Row],[Date of Call]]),YEAR(Calls[[#This Row],[Date of Call]])+1)</f>
        <v>2026</v>
      </c>
      <c r="K583" t="str">
        <f>TEXT(Calls[[#This Row],[Date of Call]],"dddd")</f>
        <v>Sunday</v>
      </c>
      <c r="L583" t="str">
        <f>TEXT(Calls[[#This Row],[Date of Call]],"mmm")</f>
        <v>Apr</v>
      </c>
    </row>
    <row r="584" spans="1:12" x14ac:dyDescent="0.3">
      <c r="A584" t="s">
        <v>588</v>
      </c>
      <c r="B584" t="s">
        <v>1018</v>
      </c>
      <c r="C584">
        <v>129</v>
      </c>
      <c r="D584" t="s">
        <v>1031</v>
      </c>
      <c r="E584" t="s">
        <v>1149</v>
      </c>
      <c r="F584">
        <v>137</v>
      </c>
      <c r="G584">
        <v>2</v>
      </c>
      <c r="H584">
        <f>ROUND(Calls[[#This Row],[Satisfactory Rating]],0)</f>
        <v>2</v>
      </c>
      <c r="I584" t="str" cm="1">
        <f t="array" ref="I584">_xlfn.IFS(Calls[[#This Row],[Duration (Min)]]&lt;=30,"Under 30 mins",Calls[[#This Row],[Duration (Min)]]&lt;=60,"Under 1h",Calls[[#This Row],[Duration (Min)]]&lt;=120,"Under 2",TRUE,"More than 2h")</f>
        <v>More than 2h</v>
      </c>
      <c r="J584">
        <f>IF(MONTH(Calls[[#This Row],[Date of Call]])&lt;=3,YEAR(Calls[[#This Row],[Date of Call]]),YEAR(Calls[[#This Row],[Date of Call]])+1)</f>
        <v>2026</v>
      </c>
      <c r="K584" t="str">
        <f>TEXT(Calls[[#This Row],[Date of Call]],"dddd")</f>
        <v>Sunday</v>
      </c>
      <c r="L584" t="str">
        <f>TEXT(Calls[[#This Row],[Date of Call]],"mmm")</f>
        <v>Apr</v>
      </c>
    </row>
    <row r="585" spans="1:12" x14ac:dyDescent="0.3">
      <c r="A585" t="s">
        <v>589</v>
      </c>
      <c r="B585" t="s">
        <v>1010</v>
      </c>
      <c r="C585">
        <v>143</v>
      </c>
      <c r="D585" t="s">
        <v>1027</v>
      </c>
      <c r="E585" t="s">
        <v>1149</v>
      </c>
      <c r="F585">
        <v>108</v>
      </c>
      <c r="G585">
        <v>3.5</v>
      </c>
      <c r="H585">
        <f>ROUND(Calls[[#This Row],[Satisfactory Rating]],0)</f>
        <v>4</v>
      </c>
      <c r="I585" t="str" cm="1">
        <f t="array" ref="I585">_xlfn.IFS(Calls[[#This Row],[Duration (Min)]]&lt;=30,"Under 30 mins",Calls[[#This Row],[Duration (Min)]]&lt;=60,"Under 1h",Calls[[#This Row],[Duration (Min)]]&lt;=120,"Under 2",TRUE,"More than 2h")</f>
        <v>More than 2h</v>
      </c>
      <c r="J585">
        <f>IF(MONTH(Calls[[#This Row],[Date of Call]])&lt;=3,YEAR(Calls[[#This Row],[Date of Call]]),YEAR(Calls[[#This Row],[Date of Call]])+1)</f>
        <v>2026</v>
      </c>
      <c r="K585" t="str">
        <f>TEXT(Calls[[#This Row],[Date of Call]],"dddd")</f>
        <v>Sunday</v>
      </c>
      <c r="L585" t="str">
        <f>TEXT(Calls[[#This Row],[Date of Call]],"mmm")</f>
        <v>Apr</v>
      </c>
    </row>
    <row r="586" spans="1:12" x14ac:dyDescent="0.3">
      <c r="A586" t="s">
        <v>590</v>
      </c>
      <c r="B586" t="s">
        <v>1019</v>
      </c>
      <c r="C586">
        <v>151</v>
      </c>
      <c r="D586" t="s">
        <v>1028</v>
      </c>
      <c r="E586" t="s">
        <v>1149</v>
      </c>
      <c r="F586">
        <v>33</v>
      </c>
      <c r="G586">
        <v>2.4</v>
      </c>
      <c r="H586">
        <f>ROUND(Calls[[#This Row],[Satisfactory Rating]],0)</f>
        <v>2</v>
      </c>
      <c r="I586" t="str" cm="1">
        <f t="array" ref="I586">_xlfn.IFS(Calls[[#This Row],[Duration (Min)]]&lt;=30,"Under 30 mins",Calls[[#This Row],[Duration (Min)]]&lt;=60,"Under 1h",Calls[[#This Row],[Duration (Min)]]&lt;=120,"Under 2",TRUE,"More than 2h")</f>
        <v>More than 2h</v>
      </c>
      <c r="J586">
        <f>IF(MONTH(Calls[[#This Row],[Date of Call]])&lt;=3,YEAR(Calls[[#This Row],[Date of Call]]),YEAR(Calls[[#This Row],[Date of Call]])+1)</f>
        <v>2026</v>
      </c>
      <c r="K586" t="str">
        <f>TEXT(Calls[[#This Row],[Date of Call]],"dddd")</f>
        <v>Sunday</v>
      </c>
      <c r="L586" t="str">
        <f>TEXT(Calls[[#This Row],[Date of Call]],"mmm")</f>
        <v>Apr</v>
      </c>
    </row>
    <row r="587" spans="1:12" x14ac:dyDescent="0.3">
      <c r="A587" t="s">
        <v>591</v>
      </c>
      <c r="B587" t="s">
        <v>1006</v>
      </c>
      <c r="C587">
        <v>58</v>
      </c>
      <c r="D587" t="s">
        <v>1026</v>
      </c>
      <c r="E587" t="s">
        <v>1150</v>
      </c>
      <c r="F587">
        <v>44</v>
      </c>
      <c r="G587">
        <v>4.9000000000000004</v>
      </c>
      <c r="H587">
        <f>ROUND(Calls[[#This Row],[Satisfactory Rating]],0)</f>
        <v>5</v>
      </c>
      <c r="I587" t="str" cm="1">
        <f t="array" ref="I587">_xlfn.IFS(Calls[[#This Row],[Duration (Min)]]&lt;=30,"Under 30 mins",Calls[[#This Row],[Duration (Min)]]&lt;=60,"Under 1h",Calls[[#This Row],[Duration (Min)]]&lt;=120,"Under 2",TRUE,"More than 2h")</f>
        <v>Under 1h</v>
      </c>
      <c r="J587">
        <f>IF(MONTH(Calls[[#This Row],[Date of Call]])&lt;=3,YEAR(Calls[[#This Row],[Date of Call]]),YEAR(Calls[[#This Row],[Date of Call]])+1)</f>
        <v>2026</v>
      </c>
      <c r="K587" t="str">
        <f>TEXT(Calls[[#This Row],[Date of Call]],"dddd")</f>
        <v>Monday</v>
      </c>
      <c r="L587" t="str">
        <f>TEXT(Calls[[#This Row],[Date of Call]],"mmm")</f>
        <v>Apr</v>
      </c>
    </row>
    <row r="588" spans="1:12" x14ac:dyDescent="0.3">
      <c r="A588" t="s">
        <v>592</v>
      </c>
      <c r="B588" t="s">
        <v>1009</v>
      </c>
      <c r="C588">
        <v>144</v>
      </c>
      <c r="D588" t="s">
        <v>1031</v>
      </c>
      <c r="E588" t="s">
        <v>1150</v>
      </c>
      <c r="F588">
        <v>54</v>
      </c>
      <c r="G588">
        <v>3.2</v>
      </c>
      <c r="H588">
        <f>ROUND(Calls[[#This Row],[Satisfactory Rating]],0)</f>
        <v>3</v>
      </c>
      <c r="I588" t="str" cm="1">
        <f t="array" ref="I588">_xlfn.IFS(Calls[[#This Row],[Duration (Min)]]&lt;=30,"Under 30 mins",Calls[[#This Row],[Duration (Min)]]&lt;=60,"Under 1h",Calls[[#This Row],[Duration (Min)]]&lt;=120,"Under 2",TRUE,"More than 2h")</f>
        <v>More than 2h</v>
      </c>
      <c r="J588">
        <f>IF(MONTH(Calls[[#This Row],[Date of Call]])&lt;=3,YEAR(Calls[[#This Row],[Date of Call]]),YEAR(Calls[[#This Row],[Date of Call]])+1)</f>
        <v>2026</v>
      </c>
      <c r="K588" t="str">
        <f>TEXT(Calls[[#This Row],[Date of Call]],"dddd")</f>
        <v>Monday</v>
      </c>
      <c r="L588" t="str">
        <f>TEXT(Calls[[#This Row],[Date of Call]],"mmm")</f>
        <v>Apr</v>
      </c>
    </row>
    <row r="589" spans="1:12" x14ac:dyDescent="0.3">
      <c r="A589" t="s">
        <v>593</v>
      </c>
      <c r="B589" t="s">
        <v>1020</v>
      </c>
      <c r="C589">
        <v>154</v>
      </c>
      <c r="D589" t="s">
        <v>1030</v>
      </c>
      <c r="E589" t="s">
        <v>1150</v>
      </c>
      <c r="F589">
        <v>74</v>
      </c>
      <c r="G589">
        <v>3.7</v>
      </c>
      <c r="H589">
        <f>ROUND(Calls[[#This Row],[Satisfactory Rating]],0)</f>
        <v>4</v>
      </c>
      <c r="I589" t="str" cm="1">
        <f t="array" ref="I589">_xlfn.IFS(Calls[[#This Row],[Duration (Min)]]&lt;=30,"Under 30 mins",Calls[[#This Row],[Duration (Min)]]&lt;=60,"Under 1h",Calls[[#This Row],[Duration (Min)]]&lt;=120,"Under 2",TRUE,"More than 2h")</f>
        <v>More than 2h</v>
      </c>
      <c r="J589">
        <f>IF(MONTH(Calls[[#This Row],[Date of Call]])&lt;=3,YEAR(Calls[[#This Row],[Date of Call]]),YEAR(Calls[[#This Row],[Date of Call]])+1)</f>
        <v>2026</v>
      </c>
      <c r="K589" t="str">
        <f>TEXT(Calls[[#This Row],[Date of Call]],"dddd")</f>
        <v>Monday</v>
      </c>
      <c r="L589" t="str">
        <f>TEXT(Calls[[#This Row],[Date of Call]],"mmm")</f>
        <v>Apr</v>
      </c>
    </row>
    <row r="590" spans="1:12" x14ac:dyDescent="0.3">
      <c r="A590" t="s">
        <v>594</v>
      </c>
      <c r="B590" t="s">
        <v>1014</v>
      </c>
      <c r="C590">
        <v>20</v>
      </c>
      <c r="D590" t="s">
        <v>1029</v>
      </c>
      <c r="E590" t="s">
        <v>1150</v>
      </c>
      <c r="F590">
        <v>63</v>
      </c>
      <c r="G590">
        <v>2.1</v>
      </c>
      <c r="H590">
        <f>ROUND(Calls[[#This Row],[Satisfactory Rating]],0)</f>
        <v>2</v>
      </c>
      <c r="I590" t="str" cm="1">
        <f t="array" ref="I590">_xlfn.IFS(Calls[[#This Row],[Duration (Min)]]&lt;=30,"Under 30 mins",Calls[[#This Row],[Duration (Min)]]&lt;=60,"Under 1h",Calls[[#This Row],[Duration (Min)]]&lt;=120,"Under 2",TRUE,"More than 2h")</f>
        <v>Under 30 mins</v>
      </c>
      <c r="J590">
        <f>IF(MONTH(Calls[[#This Row],[Date of Call]])&lt;=3,YEAR(Calls[[#This Row],[Date of Call]]),YEAR(Calls[[#This Row],[Date of Call]])+1)</f>
        <v>2026</v>
      </c>
      <c r="K590" t="str">
        <f>TEXT(Calls[[#This Row],[Date of Call]],"dddd")</f>
        <v>Monday</v>
      </c>
      <c r="L590" t="str">
        <f>TEXT(Calls[[#This Row],[Date of Call]],"mmm")</f>
        <v>Apr</v>
      </c>
    </row>
    <row r="591" spans="1:12" x14ac:dyDescent="0.3">
      <c r="A591" t="s">
        <v>595</v>
      </c>
      <c r="B591" t="s">
        <v>1012</v>
      </c>
      <c r="C591">
        <v>53</v>
      </c>
      <c r="D591" t="s">
        <v>1030</v>
      </c>
      <c r="E591" t="s">
        <v>1150</v>
      </c>
      <c r="F591">
        <v>78</v>
      </c>
      <c r="G591">
        <v>1.5</v>
      </c>
      <c r="H591">
        <f>ROUND(Calls[[#This Row],[Satisfactory Rating]],0)</f>
        <v>2</v>
      </c>
      <c r="I591" t="str" cm="1">
        <f t="array" ref="I591">_xlfn.IFS(Calls[[#This Row],[Duration (Min)]]&lt;=30,"Under 30 mins",Calls[[#This Row],[Duration (Min)]]&lt;=60,"Under 1h",Calls[[#This Row],[Duration (Min)]]&lt;=120,"Under 2",TRUE,"More than 2h")</f>
        <v>Under 1h</v>
      </c>
      <c r="J591">
        <f>IF(MONTH(Calls[[#This Row],[Date of Call]])&lt;=3,YEAR(Calls[[#This Row],[Date of Call]]),YEAR(Calls[[#This Row],[Date of Call]])+1)</f>
        <v>2026</v>
      </c>
      <c r="K591" t="str">
        <f>TEXT(Calls[[#This Row],[Date of Call]],"dddd")</f>
        <v>Monday</v>
      </c>
      <c r="L591" t="str">
        <f>TEXT(Calls[[#This Row],[Date of Call]],"mmm")</f>
        <v>Apr</v>
      </c>
    </row>
    <row r="592" spans="1:12" x14ac:dyDescent="0.3">
      <c r="A592" t="s">
        <v>596</v>
      </c>
      <c r="B592" t="s">
        <v>1020</v>
      </c>
      <c r="C592">
        <v>81</v>
      </c>
      <c r="D592" t="s">
        <v>1029</v>
      </c>
      <c r="E592" t="s">
        <v>1151</v>
      </c>
      <c r="F592">
        <v>87</v>
      </c>
      <c r="G592">
        <v>4.5999999999999996</v>
      </c>
      <c r="H592">
        <f>ROUND(Calls[[#This Row],[Satisfactory Rating]],0)</f>
        <v>5</v>
      </c>
      <c r="I592" t="str" cm="1">
        <f t="array" ref="I592">_xlfn.IFS(Calls[[#This Row],[Duration (Min)]]&lt;=30,"Under 30 mins",Calls[[#This Row],[Duration (Min)]]&lt;=60,"Under 1h",Calls[[#This Row],[Duration (Min)]]&lt;=120,"Under 2",TRUE,"More than 2h")</f>
        <v>Under 2</v>
      </c>
      <c r="J592">
        <f>IF(MONTH(Calls[[#This Row],[Date of Call]])&lt;=3,YEAR(Calls[[#This Row],[Date of Call]]),YEAR(Calls[[#This Row],[Date of Call]])+1)</f>
        <v>2026</v>
      </c>
      <c r="K592" t="str">
        <f>TEXT(Calls[[#This Row],[Date of Call]],"dddd")</f>
        <v>Tuesday</v>
      </c>
      <c r="L592" t="str">
        <f>TEXT(Calls[[#This Row],[Date of Call]],"mmm")</f>
        <v>Apr</v>
      </c>
    </row>
    <row r="593" spans="1:12" x14ac:dyDescent="0.3">
      <c r="A593" t="s">
        <v>597</v>
      </c>
      <c r="B593" t="s">
        <v>1020</v>
      </c>
      <c r="C593">
        <v>60</v>
      </c>
      <c r="D593" t="s">
        <v>1026</v>
      </c>
      <c r="E593" t="s">
        <v>1151</v>
      </c>
      <c r="F593">
        <v>86</v>
      </c>
      <c r="G593">
        <v>2.7</v>
      </c>
      <c r="H593">
        <f>ROUND(Calls[[#This Row],[Satisfactory Rating]],0)</f>
        <v>3</v>
      </c>
      <c r="I593" t="str" cm="1">
        <f t="array" ref="I593">_xlfn.IFS(Calls[[#This Row],[Duration (Min)]]&lt;=30,"Under 30 mins",Calls[[#This Row],[Duration (Min)]]&lt;=60,"Under 1h",Calls[[#This Row],[Duration (Min)]]&lt;=120,"Under 2",TRUE,"More than 2h")</f>
        <v>Under 1h</v>
      </c>
      <c r="J593">
        <f>IF(MONTH(Calls[[#This Row],[Date of Call]])&lt;=3,YEAR(Calls[[#This Row],[Date of Call]]),YEAR(Calls[[#This Row],[Date of Call]])+1)</f>
        <v>2026</v>
      </c>
      <c r="K593" t="str">
        <f>TEXT(Calls[[#This Row],[Date of Call]],"dddd")</f>
        <v>Tuesday</v>
      </c>
      <c r="L593" t="str">
        <f>TEXT(Calls[[#This Row],[Date of Call]],"mmm")</f>
        <v>Apr</v>
      </c>
    </row>
    <row r="594" spans="1:12" x14ac:dyDescent="0.3">
      <c r="A594" t="s">
        <v>598</v>
      </c>
      <c r="B594" t="s">
        <v>1023</v>
      </c>
      <c r="C594">
        <v>135</v>
      </c>
      <c r="D594" t="s">
        <v>1029</v>
      </c>
      <c r="E594" t="s">
        <v>1151</v>
      </c>
      <c r="F594">
        <v>32</v>
      </c>
      <c r="G594">
        <v>3</v>
      </c>
      <c r="H594">
        <f>ROUND(Calls[[#This Row],[Satisfactory Rating]],0)</f>
        <v>3</v>
      </c>
      <c r="I594" t="str" cm="1">
        <f t="array" ref="I594">_xlfn.IFS(Calls[[#This Row],[Duration (Min)]]&lt;=30,"Under 30 mins",Calls[[#This Row],[Duration (Min)]]&lt;=60,"Under 1h",Calls[[#This Row],[Duration (Min)]]&lt;=120,"Under 2",TRUE,"More than 2h")</f>
        <v>More than 2h</v>
      </c>
      <c r="J594">
        <f>IF(MONTH(Calls[[#This Row],[Date of Call]])&lt;=3,YEAR(Calls[[#This Row],[Date of Call]]),YEAR(Calls[[#This Row],[Date of Call]])+1)</f>
        <v>2026</v>
      </c>
      <c r="K594" t="str">
        <f>TEXT(Calls[[#This Row],[Date of Call]],"dddd")</f>
        <v>Tuesday</v>
      </c>
      <c r="L594" t="str">
        <f>TEXT(Calls[[#This Row],[Date of Call]],"mmm")</f>
        <v>Apr</v>
      </c>
    </row>
    <row r="595" spans="1:12" x14ac:dyDescent="0.3">
      <c r="A595" t="s">
        <v>599</v>
      </c>
      <c r="B595" t="s">
        <v>1008</v>
      </c>
      <c r="C595">
        <v>95</v>
      </c>
      <c r="D595" t="s">
        <v>1031</v>
      </c>
      <c r="E595" t="s">
        <v>1151</v>
      </c>
      <c r="F595">
        <v>82</v>
      </c>
      <c r="G595">
        <v>4.9000000000000004</v>
      </c>
      <c r="H595">
        <f>ROUND(Calls[[#This Row],[Satisfactory Rating]],0)</f>
        <v>5</v>
      </c>
      <c r="I595" t="str" cm="1">
        <f t="array" ref="I595">_xlfn.IFS(Calls[[#This Row],[Duration (Min)]]&lt;=30,"Under 30 mins",Calls[[#This Row],[Duration (Min)]]&lt;=60,"Under 1h",Calls[[#This Row],[Duration (Min)]]&lt;=120,"Under 2",TRUE,"More than 2h")</f>
        <v>Under 2</v>
      </c>
      <c r="J595">
        <f>IF(MONTH(Calls[[#This Row],[Date of Call]])&lt;=3,YEAR(Calls[[#This Row],[Date of Call]]),YEAR(Calls[[#This Row],[Date of Call]])+1)</f>
        <v>2026</v>
      </c>
      <c r="K595" t="str">
        <f>TEXT(Calls[[#This Row],[Date of Call]],"dddd")</f>
        <v>Tuesday</v>
      </c>
      <c r="L595" t="str">
        <f>TEXT(Calls[[#This Row],[Date of Call]],"mmm")</f>
        <v>Apr</v>
      </c>
    </row>
    <row r="596" spans="1:12" x14ac:dyDescent="0.3">
      <c r="A596" t="s">
        <v>600</v>
      </c>
      <c r="B596" t="s">
        <v>1022</v>
      </c>
      <c r="C596">
        <v>80</v>
      </c>
      <c r="D596" t="s">
        <v>1030</v>
      </c>
      <c r="E596" t="s">
        <v>1151</v>
      </c>
      <c r="F596">
        <v>37</v>
      </c>
      <c r="G596">
        <v>2.2999999999999998</v>
      </c>
      <c r="H596">
        <f>ROUND(Calls[[#This Row],[Satisfactory Rating]],0)</f>
        <v>2</v>
      </c>
      <c r="I596" t="str" cm="1">
        <f t="array" ref="I596">_xlfn.IFS(Calls[[#This Row],[Duration (Min)]]&lt;=30,"Under 30 mins",Calls[[#This Row],[Duration (Min)]]&lt;=60,"Under 1h",Calls[[#This Row],[Duration (Min)]]&lt;=120,"Under 2",TRUE,"More than 2h")</f>
        <v>Under 2</v>
      </c>
      <c r="J596">
        <f>IF(MONTH(Calls[[#This Row],[Date of Call]])&lt;=3,YEAR(Calls[[#This Row],[Date of Call]]),YEAR(Calls[[#This Row],[Date of Call]])+1)</f>
        <v>2026</v>
      </c>
      <c r="K596" t="str">
        <f>TEXT(Calls[[#This Row],[Date of Call]],"dddd")</f>
        <v>Tuesday</v>
      </c>
      <c r="L596" t="str">
        <f>TEXT(Calls[[#This Row],[Date of Call]],"mmm")</f>
        <v>Apr</v>
      </c>
    </row>
    <row r="597" spans="1:12" x14ac:dyDescent="0.3">
      <c r="A597" t="s">
        <v>601</v>
      </c>
      <c r="B597" t="s">
        <v>1007</v>
      </c>
      <c r="C597">
        <v>146</v>
      </c>
      <c r="D597" t="s">
        <v>1026</v>
      </c>
      <c r="E597" t="s">
        <v>1152</v>
      </c>
      <c r="F597">
        <v>30</v>
      </c>
      <c r="G597">
        <v>3.9</v>
      </c>
      <c r="H597">
        <f>ROUND(Calls[[#This Row],[Satisfactory Rating]],0)</f>
        <v>4</v>
      </c>
      <c r="I597" t="str" cm="1">
        <f t="array" ref="I597">_xlfn.IFS(Calls[[#This Row],[Duration (Min)]]&lt;=30,"Under 30 mins",Calls[[#This Row],[Duration (Min)]]&lt;=60,"Under 1h",Calls[[#This Row],[Duration (Min)]]&lt;=120,"Under 2",TRUE,"More than 2h")</f>
        <v>More than 2h</v>
      </c>
      <c r="J597">
        <f>IF(MONTH(Calls[[#This Row],[Date of Call]])&lt;=3,YEAR(Calls[[#This Row],[Date of Call]]),YEAR(Calls[[#This Row],[Date of Call]])+1)</f>
        <v>2026</v>
      </c>
      <c r="K597" t="str">
        <f>TEXT(Calls[[#This Row],[Date of Call]],"dddd")</f>
        <v>Wednesday</v>
      </c>
      <c r="L597" t="str">
        <f>TEXT(Calls[[#This Row],[Date of Call]],"mmm")</f>
        <v>Apr</v>
      </c>
    </row>
    <row r="598" spans="1:12" x14ac:dyDescent="0.3">
      <c r="A598" t="s">
        <v>602</v>
      </c>
      <c r="B598" t="s">
        <v>1022</v>
      </c>
      <c r="C598">
        <v>35</v>
      </c>
      <c r="D598" t="s">
        <v>1032</v>
      </c>
      <c r="E598" t="s">
        <v>1152</v>
      </c>
      <c r="F598">
        <v>147</v>
      </c>
      <c r="G598">
        <v>1.8</v>
      </c>
      <c r="H598">
        <f>ROUND(Calls[[#This Row],[Satisfactory Rating]],0)</f>
        <v>2</v>
      </c>
      <c r="I598" t="str" cm="1">
        <f t="array" ref="I598">_xlfn.IFS(Calls[[#This Row],[Duration (Min)]]&lt;=30,"Under 30 mins",Calls[[#This Row],[Duration (Min)]]&lt;=60,"Under 1h",Calls[[#This Row],[Duration (Min)]]&lt;=120,"Under 2",TRUE,"More than 2h")</f>
        <v>Under 1h</v>
      </c>
      <c r="J598">
        <f>IF(MONTH(Calls[[#This Row],[Date of Call]])&lt;=3,YEAR(Calls[[#This Row],[Date of Call]]),YEAR(Calls[[#This Row],[Date of Call]])+1)</f>
        <v>2026</v>
      </c>
      <c r="K598" t="str">
        <f>TEXT(Calls[[#This Row],[Date of Call]],"dddd")</f>
        <v>Wednesday</v>
      </c>
      <c r="L598" t="str">
        <f>TEXT(Calls[[#This Row],[Date of Call]],"mmm")</f>
        <v>Apr</v>
      </c>
    </row>
    <row r="599" spans="1:12" x14ac:dyDescent="0.3">
      <c r="A599" t="s">
        <v>603</v>
      </c>
      <c r="B599" t="s">
        <v>1012</v>
      </c>
      <c r="C599">
        <v>59</v>
      </c>
      <c r="D599" t="s">
        <v>1032</v>
      </c>
      <c r="E599" t="s">
        <v>1152</v>
      </c>
      <c r="F599">
        <v>44</v>
      </c>
      <c r="G599">
        <v>1.6</v>
      </c>
      <c r="H599">
        <f>ROUND(Calls[[#This Row],[Satisfactory Rating]],0)</f>
        <v>2</v>
      </c>
      <c r="I599" t="str" cm="1">
        <f t="array" ref="I599">_xlfn.IFS(Calls[[#This Row],[Duration (Min)]]&lt;=30,"Under 30 mins",Calls[[#This Row],[Duration (Min)]]&lt;=60,"Under 1h",Calls[[#This Row],[Duration (Min)]]&lt;=120,"Under 2",TRUE,"More than 2h")</f>
        <v>Under 1h</v>
      </c>
      <c r="J599">
        <f>IF(MONTH(Calls[[#This Row],[Date of Call]])&lt;=3,YEAR(Calls[[#This Row],[Date of Call]]),YEAR(Calls[[#This Row],[Date of Call]])+1)</f>
        <v>2026</v>
      </c>
      <c r="K599" t="str">
        <f>TEXT(Calls[[#This Row],[Date of Call]],"dddd")</f>
        <v>Wednesday</v>
      </c>
      <c r="L599" t="str">
        <f>TEXT(Calls[[#This Row],[Date of Call]],"mmm")</f>
        <v>Apr</v>
      </c>
    </row>
    <row r="600" spans="1:12" x14ac:dyDescent="0.3">
      <c r="A600" t="s">
        <v>604</v>
      </c>
      <c r="B600" t="s">
        <v>1008</v>
      </c>
      <c r="C600">
        <v>141</v>
      </c>
      <c r="D600" t="s">
        <v>1030</v>
      </c>
      <c r="E600" t="s">
        <v>1152</v>
      </c>
      <c r="F600">
        <v>115</v>
      </c>
      <c r="G600">
        <v>3.5</v>
      </c>
      <c r="H600">
        <f>ROUND(Calls[[#This Row],[Satisfactory Rating]],0)</f>
        <v>4</v>
      </c>
      <c r="I600" t="str" cm="1">
        <f t="array" ref="I600">_xlfn.IFS(Calls[[#This Row],[Duration (Min)]]&lt;=30,"Under 30 mins",Calls[[#This Row],[Duration (Min)]]&lt;=60,"Under 1h",Calls[[#This Row],[Duration (Min)]]&lt;=120,"Under 2",TRUE,"More than 2h")</f>
        <v>More than 2h</v>
      </c>
      <c r="J600">
        <f>IF(MONTH(Calls[[#This Row],[Date of Call]])&lt;=3,YEAR(Calls[[#This Row],[Date of Call]]),YEAR(Calls[[#This Row],[Date of Call]])+1)</f>
        <v>2026</v>
      </c>
      <c r="K600" t="str">
        <f>TEXT(Calls[[#This Row],[Date of Call]],"dddd")</f>
        <v>Wednesday</v>
      </c>
      <c r="L600" t="str">
        <f>TEXT(Calls[[#This Row],[Date of Call]],"mmm")</f>
        <v>Apr</v>
      </c>
    </row>
    <row r="601" spans="1:12" x14ac:dyDescent="0.3">
      <c r="A601" t="s">
        <v>605</v>
      </c>
      <c r="B601" t="s">
        <v>1017</v>
      </c>
      <c r="C601">
        <v>151</v>
      </c>
      <c r="D601" t="s">
        <v>1027</v>
      </c>
      <c r="E601" t="s">
        <v>1152</v>
      </c>
      <c r="F601">
        <v>52</v>
      </c>
      <c r="G601">
        <v>3.4</v>
      </c>
      <c r="H601">
        <f>ROUND(Calls[[#This Row],[Satisfactory Rating]],0)</f>
        <v>3</v>
      </c>
      <c r="I601" t="str" cm="1">
        <f t="array" ref="I601">_xlfn.IFS(Calls[[#This Row],[Duration (Min)]]&lt;=30,"Under 30 mins",Calls[[#This Row],[Duration (Min)]]&lt;=60,"Under 1h",Calls[[#This Row],[Duration (Min)]]&lt;=120,"Under 2",TRUE,"More than 2h")</f>
        <v>More than 2h</v>
      </c>
      <c r="J601">
        <f>IF(MONTH(Calls[[#This Row],[Date of Call]])&lt;=3,YEAR(Calls[[#This Row],[Date of Call]]),YEAR(Calls[[#This Row],[Date of Call]])+1)</f>
        <v>2026</v>
      </c>
      <c r="K601" t="str">
        <f>TEXT(Calls[[#This Row],[Date of Call]],"dddd")</f>
        <v>Wednesday</v>
      </c>
      <c r="L601" t="str">
        <f>TEXT(Calls[[#This Row],[Date of Call]],"mmm")</f>
        <v>Apr</v>
      </c>
    </row>
    <row r="602" spans="1:12" x14ac:dyDescent="0.3">
      <c r="A602" t="s">
        <v>606</v>
      </c>
      <c r="B602" t="s">
        <v>1023</v>
      </c>
      <c r="C602">
        <v>109</v>
      </c>
      <c r="D602" t="s">
        <v>1032</v>
      </c>
      <c r="E602" t="s">
        <v>1153</v>
      </c>
      <c r="F602">
        <v>65</v>
      </c>
      <c r="G602">
        <v>4.3</v>
      </c>
      <c r="H602">
        <f>ROUND(Calls[[#This Row],[Satisfactory Rating]],0)</f>
        <v>4</v>
      </c>
      <c r="I602" t="str" cm="1">
        <f t="array" ref="I602">_xlfn.IFS(Calls[[#This Row],[Duration (Min)]]&lt;=30,"Under 30 mins",Calls[[#This Row],[Duration (Min)]]&lt;=60,"Under 1h",Calls[[#This Row],[Duration (Min)]]&lt;=120,"Under 2",TRUE,"More than 2h")</f>
        <v>Under 2</v>
      </c>
      <c r="J602">
        <f>IF(MONTH(Calls[[#This Row],[Date of Call]])&lt;=3,YEAR(Calls[[#This Row],[Date of Call]]),YEAR(Calls[[#This Row],[Date of Call]])+1)</f>
        <v>2026</v>
      </c>
      <c r="K602" t="str">
        <f>TEXT(Calls[[#This Row],[Date of Call]],"dddd")</f>
        <v>Thursday</v>
      </c>
      <c r="L602" t="str">
        <f>TEXT(Calls[[#This Row],[Date of Call]],"mmm")</f>
        <v>May</v>
      </c>
    </row>
    <row r="603" spans="1:12" x14ac:dyDescent="0.3">
      <c r="A603" t="s">
        <v>607</v>
      </c>
      <c r="B603" t="s">
        <v>1025</v>
      </c>
      <c r="C603">
        <v>34</v>
      </c>
      <c r="D603" t="s">
        <v>1031</v>
      </c>
      <c r="E603" t="s">
        <v>1153</v>
      </c>
      <c r="F603">
        <v>74</v>
      </c>
      <c r="G603">
        <v>3.5</v>
      </c>
      <c r="H603">
        <f>ROUND(Calls[[#This Row],[Satisfactory Rating]],0)</f>
        <v>4</v>
      </c>
      <c r="I603" t="str" cm="1">
        <f t="array" ref="I603">_xlfn.IFS(Calls[[#This Row],[Duration (Min)]]&lt;=30,"Under 30 mins",Calls[[#This Row],[Duration (Min)]]&lt;=60,"Under 1h",Calls[[#This Row],[Duration (Min)]]&lt;=120,"Under 2",TRUE,"More than 2h")</f>
        <v>Under 1h</v>
      </c>
      <c r="J603">
        <f>IF(MONTH(Calls[[#This Row],[Date of Call]])&lt;=3,YEAR(Calls[[#This Row],[Date of Call]]),YEAR(Calls[[#This Row],[Date of Call]])+1)</f>
        <v>2026</v>
      </c>
      <c r="K603" t="str">
        <f>TEXT(Calls[[#This Row],[Date of Call]],"dddd")</f>
        <v>Thursday</v>
      </c>
      <c r="L603" t="str">
        <f>TEXT(Calls[[#This Row],[Date of Call]],"mmm")</f>
        <v>May</v>
      </c>
    </row>
    <row r="604" spans="1:12" x14ac:dyDescent="0.3">
      <c r="A604" t="s">
        <v>608</v>
      </c>
      <c r="B604" t="s">
        <v>1017</v>
      </c>
      <c r="C604">
        <v>96</v>
      </c>
      <c r="D604" t="s">
        <v>1032</v>
      </c>
      <c r="E604" t="s">
        <v>1153</v>
      </c>
      <c r="F604">
        <v>60</v>
      </c>
      <c r="G604">
        <v>3</v>
      </c>
      <c r="H604">
        <f>ROUND(Calls[[#This Row],[Satisfactory Rating]],0)</f>
        <v>3</v>
      </c>
      <c r="I604" t="str" cm="1">
        <f t="array" ref="I604">_xlfn.IFS(Calls[[#This Row],[Duration (Min)]]&lt;=30,"Under 30 mins",Calls[[#This Row],[Duration (Min)]]&lt;=60,"Under 1h",Calls[[#This Row],[Duration (Min)]]&lt;=120,"Under 2",TRUE,"More than 2h")</f>
        <v>Under 2</v>
      </c>
      <c r="J604">
        <f>IF(MONTH(Calls[[#This Row],[Date of Call]])&lt;=3,YEAR(Calls[[#This Row],[Date of Call]]),YEAR(Calls[[#This Row],[Date of Call]])+1)</f>
        <v>2026</v>
      </c>
      <c r="K604" t="str">
        <f>TEXT(Calls[[#This Row],[Date of Call]],"dddd")</f>
        <v>Thursday</v>
      </c>
      <c r="L604" t="str">
        <f>TEXT(Calls[[#This Row],[Date of Call]],"mmm")</f>
        <v>May</v>
      </c>
    </row>
    <row r="605" spans="1:12" x14ac:dyDescent="0.3">
      <c r="A605" t="s">
        <v>609</v>
      </c>
      <c r="B605" t="s">
        <v>1014</v>
      </c>
      <c r="C605">
        <v>64</v>
      </c>
      <c r="D605" t="s">
        <v>1029</v>
      </c>
      <c r="E605" t="s">
        <v>1153</v>
      </c>
      <c r="F605">
        <v>108</v>
      </c>
      <c r="G605">
        <v>4.0999999999999996</v>
      </c>
      <c r="H605">
        <f>ROUND(Calls[[#This Row],[Satisfactory Rating]],0)</f>
        <v>4</v>
      </c>
      <c r="I605" t="str" cm="1">
        <f t="array" ref="I605">_xlfn.IFS(Calls[[#This Row],[Duration (Min)]]&lt;=30,"Under 30 mins",Calls[[#This Row],[Duration (Min)]]&lt;=60,"Under 1h",Calls[[#This Row],[Duration (Min)]]&lt;=120,"Under 2",TRUE,"More than 2h")</f>
        <v>Under 2</v>
      </c>
      <c r="J605">
        <f>IF(MONTH(Calls[[#This Row],[Date of Call]])&lt;=3,YEAR(Calls[[#This Row],[Date of Call]]),YEAR(Calls[[#This Row],[Date of Call]])+1)</f>
        <v>2026</v>
      </c>
      <c r="K605" t="str">
        <f>TEXT(Calls[[#This Row],[Date of Call]],"dddd")</f>
        <v>Thursday</v>
      </c>
      <c r="L605" t="str">
        <f>TEXT(Calls[[#This Row],[Date of Call]],"mmm")</f>
        <v>May</v>
      </c>
    </row>
    <row r="606" spans="1:12" x14ac:dyDescent="0.3">
      <c r="A606" t="s">
        <v>610</v>
      </c>
      <c r="B606" t="s">
        <v>1006</v>
      </c>
      <c r="C606">
        <v>66</v>
      </c>
      <c r="D606" t="s">
        <v>1026</v>
      </c>
      <c r="E606" t="s">
        <v>1153</v>
      </c>
      <c r="F606">
        <v>127</v>
      </c>
      <c r="G606">
        <v>1.6</v>
      </c>
      <c r="H606">
        <f>ROUND(Calls[[#This Row],[Satisfactory Rating]],0)</f>
        <v>2</v>
      </c>
      <c r="I606" t="str" cm="1">
        <f t="array" ref="I606">_xlfn.IFS(Calls[[#This Row],[Duration (Min)]]&lt;=30,"Under 30 mins",Calls[[#This Row],[Duration (Min)]]&lt;=60,"Under 1h",Calls[[#This Row],[Duration (Min)]]&lt;=120,"Under 2",TRUE,"More than 2h")</f>
        <v>Under 2</v>
      </c>
      <c r="J606">
        <f>IF(MONTH(Calls[[#This Row],[Date of Call]])&lt;=3,YEAR(Calls[[#This Row],[Date of Call]]),YEAR(Calls[[#This Row],[Date of Call]])+1)</f>
        <v>2026</v>
      </c>
      <c r="K606" t="str">
        <f>TEXT(Calls[[#This Row],[Date of Call]],"dddd")</f>
        <v>Thursday</v>
      </c>
      <c r="L606" t="str">
        <f>TEXT(Calls[[#This Row],[Date of Call]],"mmm")</f>
        <v>May</v>
      </c>
    </row>
    <row r="607" spans="1:12" x14ac:dyDescent="0.3">
      <c r="A607" t="s">
        <v>611</v>
      </c>
      <c r="B607" t="s">
        <v>1006</v>
      </c>
      <c r="C607">
        <v>64</v>
      </c>
      <c r="D607" t="s">
        <v>1029</v>
      </c>
      <c r="E607" t="s">
        <v>1154</v>
      </c>
      <c r="F607">
        <v>113</v>
      </c>
      <c r="G607">
        <v>1.3</v>
      </c>
      <c r="H607">
        <f>ROUND(Calls[[#This Row],[Satisfactory Rating]],0)</f>
        <v>1</v>
      </c>
      <c r="I607" t="str" cm="1">
        <f t="array" ref="I607">_xlfn.IFS(Calls[[#This Row],[Duration (Min)]]&lt;=30,"Under 30 mins",Calls[[#This Row],[Duration (Min)]]&lt;=60,"Under 1h",Calls[[#This Row],[Duration (Min)]]&lt;=120,"Under 2",TRUE,"More than 2h")</f>
        <v>Under 2</v>
      </c>
      <c r="J607">
        <f>IF(MONTH(Calls[[#This Row],[Date of Call]])&lt;=3,YEAR(Calls[[#This Row],[Date of Call]]),YEAR(Calls[[#This Row],[Date of Call]])+1)</f>
        <v>2026</v>
      </c>
      <c r="K607" t="str">
        <f>TEXT(Calls[[#This Row],[Date of Call]],"dddd")</f>
        <v>Friday</v>
      </c>
      <c r="L607" t="str">
        <f>TEXT(Calls[[#This Row],[Date of Call]],"mmm")</f>
        <v>May</v>
      </c>
    </row>
    <row r="608" spans="1:12" x14ac:dyDescent="0.3">
      <c r="A608" t="s">
        <v>612</v>
      </c>
      <c r="B608" t="s">
        <v>1023</v>
      </c>
      <c r="C608">
        <v>112</v>
      </c>
      <c r="D608" t="s">
        <v>1028</v>
      </c>
      <c r="E608" t="s">
        <v>1154</v>
      </c>
      <c r="F608">
        <v>71</v>
      </c>
      <c r="G608">
        <v>4.9000000000000004</v>
      </c>
      <c r="H608">
        <f>ROUND(Calls[[#This Row],[Satisfactory Rating]],0)</f>
        <v>5</v>
      </c>
      <c r="I608" t="str" cm="1">
        <f t="array" ref="I608">_xlfn.IFS(Calls[[#This Row],[Duration (Min)]]&lt;=30,"Under 30 mins",Calls[[#This Row],[Duration (Min)]]&lt;=60,"Under 1h",Calls[[#This Row],[Duration (Min)]]&lt;=120,"Under 2",TRUE,"More than 2h")</f>
        <v>Under 2</v>
      </c>
      <c r="J608">
        <f>IF(MONTH(Calls[[#This Row],[Date of Call]])&lt;=3,YEAR(Calls[[#This Row],[Date of Call]]),YEAR(Calls[[#This Row],[Date of Call]])+1)</f>
        <v>2026</v>
      </c>
      <c r="K608" t="str">
        <f>TEXT(Calls[[#This Row],[Date of Call]],"dddd")</f>
        <v>Friday</v>
      </c>
      <c r="L608" t="str">
        <f>TEXT(Calls[[#This Row],[Date of Call]],"mmm")</f>
        <v>May</v>
      </c>
    </row>
    <row r="609" spans="1:12" x14ac:dyDescent="0.3">
      <c r="A609" t="s">
        <v>613</v>
      </c>
      <c r="B609" t="s">
        <v>1008</v>
      </c>
      <c r="C609">
        <v>156</v>
      </c>
      <c r="D609" t="s">
        <v>1027</v>
      </c>
      <c r="E609" t="s">
        <v>1154</v>
      </c>
      <c r="F609">
        <v>123</v>
      </c>
      <c r="G609">
        <v>3.1</v>
      </c>
      <c r="H609">
        <f>ROUND(Calls[[#This Row],[Satisfactory Rating]],0)</f>
        <v>3</v>
      </c>
      <c r="I609" t="str" cm="1">
        <f t="array" ref="I609">_xlfn.IFS(Calls[[#This Row],[Duration (Min)]]&lt;=30,"Under 30 mins",Calls[[#This Row],[Duration (Min)]]&lt;=60,"Under 1h",Calls[[#This Row],[Duration (Min)]]&lt;=120,"Under 2",TRUE,"More than 2h")</f>
        <v>More than 2h</v>
      </c>
      <c r="J609">
        <f>IF(MONTH(Calls[[#This Row],[Date of Call]])&lt;=3,YEAR(Calls[[#This Row],[Date of Call]]),YEAR(Calls[[#This Row],[Date of Call]])+1)</f>
        <v>2026</v>
      </c>
      <c r="K609" t="str">
        <f>TEXT(Calls[[#This Row],[Date of Call]],"dddd")</f>
        <v>Friday</v>
      </c>
      <c r="L609" t="str">
        <f>TEXT(Calls[[#This Row],[Date of Call]],"mmm")</f>
        <v>May</v>
      </c>
    </row>
    <row r="610" spans="1:12" x14ac:dyDescent="0.3">
      <c r="A610" t="s">
        <v>614</v>
      </c>
      <c r="B610" t="s">
        <v>1006</v>
      </c>
      <c r="C610">
        <v>97</v>
      </c>
      <c r="D610" t="s">
        <v>1029</v>
      </c>
      <c r="E610" t="s">
        <v>1154</v>
      </c>
      <c r="F610">
        <v>53</v>
      </c>
      <c r="G610">
        <v>1.5</v>
      </c>
      <c r="H610">
        <f>ROUND(Calls[[#This Row],[Satisfactory Rating]],0)</f>
        <v>2</v>
      </c>
      <c r="I610" t="str" cm="1">
        <f t="array" ref="I610">_xlfn.IFS(Calls[[#This Row],[Duration (Min)]]&lt;=30,"Under 30 mins",Calls[[#This Row],[Duration (Min)]]&lt;=60,"Under 1h",Calls[[#This Row],[Duration (Min)]]&lt;=120,"Under 2",TRUE,"More than 2h")</f>
        <v>Under 2</v>
      </c>
      <c r="J610">
        <f>IF(MONTH(Calls[[#This Row],[Date of Call]])&lt;=3,YEAR(Calls[[#This Row],[Date of Call]]),YEAR(Calls[[#This Row],[Date of Call]])+1)</f>
        <v>2026</v>
      </c>
      <c r="K610" t="str">
        <f>TEXT(Calls[[#This Row],[Date of Call]],"dddd")</f>
        <v>Friday</v>
      </c>
      <c r="L610" t="str">
        <f>TEXT(Calls[[#This Row],[Date of Call]],"mmm")</f>
        <v>May</v>
      </c>
    </row>
    <row r="611" spans="1:12" x14ac:dyDescent="0.3">
      <c r="A611" t="s">
        <v>615</v>
      </c>
      <c r="B611" t="s">
        <v>1025</v>
      </c>
      <c r="C611">
        <v>111</v>
      </c>
      <c r="D611" t="s">
        <v>1032</v>
      </c>
      <c r="E611" t="s">
        <v>1154</v>
      </c>
      <c r="F611">
        <v>136</v>
      </c>
      <c r="G611">
        <v>1.6</v>
      </c>
      <c r="H611">
        <f>ROUND(Calls[[#This Row],[Satisfactory Rating]],0)</f>
        <v>2</v>
      </c>
      <c r="I611" t="str" cm="1">
        <f t="array" ref="I611">_xlfn.IFS(Calls[[#This Row],[Duration (Min)]]&lt;=30,"Under 30 mins",Calls[[#This Row],[Duration (Min)]]&lt;=60,"Under 1h",Calls[[#This Row],[Duration (Min)]]&lt;=120,"Under 2",TRUE,"More than 2h")</f>
        <v>Under 2</v>
      </c>
      <c r="J611">
        <f>IF(MONTH(Calls[[#This Row],[Date of Call]])&lt;=3,YEAR(Calls[[#This Row],[Date of Call]]),YEAR(Calls[[#This Row],[Date of Call]])+1)</f>
        <v>2026</v>
      </c>
      <c r="K611" t="str">
        <f>TEXT(Calls[[#This Row],[Date of Call]],"dddd")</f>
        <v>Friday</v>
      </c>
      <c r="L611" t="str">
        <f>TEXT(Calls[[#This Row],[Date of Call]],"mmm")</f>
        <v>May</v>
      </c>
    </row>
    <row r="612" spans="1:12" x14ac:dyDescent="0.3">
      <c r="A612" t="s">
        <v>616</v>
      </c>
      <c r="B612" t="s">
        <v>1019</v>
      </c>
      <c r="C612">
        <v>96</v>
      </c>
      <c r="D612" t="s">
        <v>1030</v>
      </c>
      <c r="E612" t="s">
        <v>1155</v>
      </c>
      <c r="F612">
        <v>49</v>
      </c>
      <c r="G612">
        <v>2.8</v>
      </c>
      <c r="H612">
        <f>ROUND(Calls[[#This Row],[Satisfactory Rating]],0)</f>
        <v>3</v>
      </c>
      <c r="I612" t="str" cm="1">
        <f t="array" ref="I612">_xlfn.IFS(Calls[[#This Row],[Duration (Min)]]&lt;=30,"Under 30 mins",Calls[[#This Row],[Duration (Min)]]&lt;=60,"Under 1h",Calls[[#This Row],[Duration (Min)]]&lt;=120,"Under 2",TRUE,"More than 2h")</f>
        <v>Under 2</v>
      </c>
      <c r="J612">
        <f>IF(MONTH(Calls[[#This Row],[Date of Call]])&lt;=3,YEAR(Calls[[#This Row],[Date of Call]]),YEAR(Calls[[#This Row],[Date of Call]])+1)</f>
        <v>2026</v>
      </c>
      <c r="K612" t="str">
        <f>TEXT(Calls[[#This Row],[Date of Call]],"dddd")</f>
        <v>Saturday</v>
      </c>
      <c r="L612" t="str">
        <f>TEXT(Calls[[#This Row],[Date of Call]],"mmm")</f>
        <v>May</v>
      </c>
    </row>
    <row r="613" spans="1:12" x14ac:dyDescent="0.3">
      <c r="A613" t="s">
        <v>617</v>
      </c>
      <c r="B613" t="s">
        <v>1025</v>
      </c>
      <c r="C613">
        <v>10</v>
      </c>
      <c r="D613" t="s">
        <v>1032</v>
      </c>
      <c r="E613" t="s">
        <v>1155</v>
      </c>
      <c r="F613">
        <v>27</v>
      </c>
      <c r="G613">
        <v>2.9</v>
      </c>
      <c r="H613">
        <f>ROUND(Calls[[#This Row],[Satisfactory Rating]],0)</f>
        <v>3</v>
      </c>
      <c r="I613" t="str" cm="1">
        <f t="array" ref="I613">_xlfn.IFS(Calls[[#This Row],[Duration (Min)]]&lt;=30,"Under 30 mins",Calls[[#This Row],[Duration (Min)]]&lt;=60,"Under 1h",Calls[[#This Row],[Duration (Min)]]&lt;=120,"Under 2",TRUE,"More than 2h")</f>
        <v>Under 30 mins</v>
      </c>
      <c r="J613">
        <f>IF(MONTH(Calls[[#This Row],[Date of Call]])&lt;=3,YEAR(Calls[[#This Row],[Date of Call]]),YEAR(Calls[[#This Row],[Date of Call]])+1)</f>
        <v>2026</v>
      </c>
      <c r="K613" t="str">
        <f>TEXT(Calls[[#This Row],[Date of Call]],"dddd")</f>
        <v>Saturday</v>
      </c>
      <c r="L613" t="str">
        <f>TEXT(Calls[[#This Row],[Date of Call]],"mmm")</f>
        <v>May</v>
      </c>
    </row>
    <row r="614" spans="1:12" x14ac:dyDescent="0.3">
      <c r="A614" t="s">
        <v>618</v>
      </c>
      <c r="B614" t="s">
        <v>1025</v>
      </c>
      <c r="C614">
        <v>71</v>
      </c>
      <c r="D614" t="s">
        <v>1028</v>
      </c>
      <c r="E614" t="s">
        <v>1155</v>
      </c>
      <c r="F614">
        <v>109</v>
      </c>
      <c r="G614">
        <v>3.2</v>
      </c>
      <c r="H614">
        <f>ROUND(Calls[[#This Row],[Satisfactory Rating]],0)</f>
        <v>3</v>
      </c>
      <c r="I614" t="str" cm="1">
        <f t="array" ref="I614">_xlfn.IFS(Calls[[#This Row],[Duration (Min)]]&lt;=30,"Under 30 mins",Calls[[#This Row],[Duration (Min)]]&lt;=60,"Under 1h",Calls[[#This Row],[Duration (Min)]]&lt;=120,"Under 2",TRUE,"More than 2h")</f>
        <v>Under 2</v>
      </c>
      <c r="J614">
        <f>IF(MONTH(Calls[[#This Row],[Date of Call]])&lt;=3,YEAR(Calls[[#This Row],[Date of Call]]),YEAR(Calls[[#This Row],[Date of Call]])+1)</f>
        <v>2026</v>
      </c>
      <c r="K614" t="str">
        <f>TEXT(Calls[[#This Row],[Date of Call]],"dddd")</f>
        <v>Saturday</v>
      </c>
      <c r="L614" t="str">
        <f>TEXT(Calls[[#This Row],[Date of Call]],"mmm")</f>
        <v>May</v>
      </c>
    </row>
    <row r="615" spans="1:12" x14ac:dyDescent="0.3">
      <c r="A615" t="s">
        <v>619</v>
      </c>
      <c r="B615" t="s">
        <v>1010</v>
      </c>
      <c r="C615">
        <v>96</v>
      </c>
      <c r="D615" t="s">
        <v>1031</v>
      </c>
      <c r="E615" t="s">
        <v>1155</v>
      </c>
      <c r="F615">
        <v>66</v>
      </c>
      <c r="G615">
        <v>3.6</v>
      </c>
      <c r="H615">
        <f>ROUND(Calls[[#This Row],[Satisfactory Rating]],0)</f>
        <v>4</v>
      </c>
      <c r="I615" t="str" cm="1">
        <f t="array" ref="I615">_xlfn.IFS(Calls[[#This Row],[Duration (Min)]]&lt;=30,"Under 30 mins",Calls[[#This Row],[Duration (Min)]]&lt;=60,"Under 1h",Calls[[#This Row],[Duration (Min)]]&lt;=120,"Under 2",TRUE,"More than 2h")</f>
        <v>Under 2</v>
      </c>
      <c r="J615">
        <f>IF(MONTH(Calls[[#This Row],[Date of Call]])&lt;=3,YEAR(Calls[[#This Row],[Date of Call]]),YEAR(Calls[[#This Row],[Date of Call]])+1)</f>
        <v>2026</v>
      </c>
      <c r="K615" t="str">
        <f>TEXT(Calls[[#This Row],[Date of Call]],"dddd")</f>
        <v>Saturday</v>
      </c>
      <c r="L615" t="str">
        <f>TEXT(Calls[[#This Row],[Date of Call]],"mmm")</f>
        <v>May</v>
      </c>
    </row>
    <row r="616" spans="1:12" x14ac:dyDescent="0.3">
      <c r="A616" t="s">
        <v>620</v>
      </c>
      <c r="B616" t="s">
        <v>1019</v>
      </c>
      <c r="C616">
        <v>146</v>
      </c>
      <c r="D616" t="s">
        <v>1026</v>
      </c>
      <c r="E616" t="s">
        <v>1155</v>
      </c>
      <c r="F616">
        <v>31</v>
      </c>
      <c r="G616">
        <v>2.8</v>
      </c>
      <c r="H616">
        <f>ROUND(Calls[[#This Row],[Satisfactory Rating]],0)</f>
        <v>3</v>
      </c>
      <c r="I616" t="str" cm="1">
        <f t="array" ref="I616">_xlfn.IFS(Calls[[#This Row],[Duration (Min)]]&lt;=30,"Under 30 mins",Calls[[#This Row],[Duration (Min)]]&lt;=60,"Under 1h",Calls[[#This Row],[Duration (Min)]]&lt;=120,"Under 2",TRUE,"More than 2h")</f>
        <v>More than 2h</v>
      </c>
      <c r="J616">
        <f>IF(MONTH(Calls[[#This Row],[Date of Call]])&lt;=3,YEAR(Calls[[#This Row],[Date of Call]]),YEAR(Calls[[#This Row],[Date of Call]])+1)</f>
        <v>2026</v>
      </c>
      <c r="K616" t="str">
        <f>TEXT(Calls[[#This Row],[Date of Call]],"dddd")</f>
        <v>Saturday</v>
      </c>
      <c r="L616" t="str">
        <f>TEXT(Calls[[#This Row],[Date of Call]],"mmm")</f>
        <v>May</v>
      </c>
    </row>
    <row r="617" spans="1:12" x14ac:dyDescent="0.3">
      <c r="A617" t="s">
        <v>621</v>
      </c>
      <c r="B617" t="s">
        <v>1016</v>
      </c>
      <c r="C617">
        <v>99</v>
      </c>
      <c r="D617" t="s">
        <v>1027</v>
      </c>
      <c r="E617" t="s">
        <v>1156</v>
      </c>
      <c r="F617">
        <v>39</v>
      </c>
      <c r="G617">
        <v>4.5999999999999996</v>
      </c>
      <c r="H617">
        <f>ROUND(Calls[[#This Row],[Satisfactory Rating]],0)</f>
        <v>5</v>
      </c>
      <c r="I617" t="str" cm="1">
        <f t="array" ref="I617">_xlfn.IFS(Calls[[#This Row],[Duration (Min)]]&lt;=30,"Under 30 mins",Calls[[#This Row],[Duration (Min)]]&lt;=60,"Under 1h",Calls[[#This Row],[Duration (Min)]]&lt;=120,"Under 2",TRUE,"More than 2h")</f>
        <v>Under 2</v>
      </c>
      <c r="J617">
        <f>IF(MONTH(Calls[[#This Row],[Date of Call]])&lt;=3,YEAR(Calls[[#This Row],[Date of Call]]),YEAR(Calls[[#This Row],[Date of Call]])+1)</f>
        <v>2026</v>
      </c>
      <c r="K617" t="str">
        <f>TEXT(Calls[[#This Row],[Date of Call]],"dddd")</f>
        <v>Sunday</v>
      </c>
      <c r="L617" t="str">
        <f>TEXT(Calls[[#This Row],[Date of Call]],"mmm")</f>
        <v>May</v>
      </c>
    </row>
    <row r="618" spans="1:12" x14ac:dyDescent="0.3">
      <c r="A618" t="s">
        <v>622</v>
      </c>
      <c r="B618" t="s">
        <v>1007</v>
      </c>
      <c r="C618">
        <v>86</v>
      </c>
      <c r="D618" t="s">
        <v>1032</v>
      </c>
      <c r="E618" t="s">
        <v>1156</v>
      </c>
      <c r="F618">
        <v>29</v>
      </c>
      <c r="G618">
        <v>2.7</v>
      </c>
      <c r="H618">
        <f>ROUND(Calls[[#This Row],[Satisfactory Rating]],0)</f>
        <v>3</v>
      </c>
      <c r="I618" t="str" cm="1">
        <f t="array" ref="I618">_xlfn.IFS(Calls[[#This Row],[Duration (Min)]]&lt;=30,"Under 30 mins",Calls[[#This Row],[Duration (Min)]]&lt;=60,"Under 1h",Calls[[#This Row],[Duration (Min)]]&lt;=120,"Under 2",TRUE,"More than 2h")</f>
        <v>Under 2</v>
      </c>
      <c r="J618">
        <f>IF(MONTH(Calls[[#This Row],[Date of Call]])&lt;=3,YEAR(Calls[[#This Row],[Date of Call]]),YEAR(Calls[[#This Row],[Date of Call]])+1)</f>
        <v>2026</v>
      </c>
      <c r="K618" t="str">
        <f>TEXT(Calls[[#This Row],[Date of Call]],"dddd")</f>
        <v>Sunday</v>
      </c>
      <c r="L618" t="str">
        <f>TEXT(Calls[[#This Row],[Date of Call]],"mmm")</f>
        <v>May</v>
      </c>
    </row>
    <row r="619" spans="1:12" x14ac:dyDescent="0.3">
      <c r="A619" t="s">
        <v>623</v>
      </c>
      <c r="B619" t="s">
        <v>1018</v>
      </c>
      <c r="C619">
        <v>88</v>
      </c>
      <c r="D619" t="s">
        <v>1026</v>
      </c>
      <c r="E619" t="s">
        <v>1156</v>
      </c>
      <c r="F619">
        <v>66</v>
      </c>
      <c r="G619">
        <v>3.8</v>
      </c>
      <c r="H619">
        <f>ROUND(Calls[[#This Row],[Satisfactory Rating]],0)</f>
        <v>4</v>
      </c>
      <c r="I619" t="str" cm="1">
        <f t="array" ref="I619">_xlfn.IFS(Calls[[#This Row],[Duration (Min)]]&lt;=30,"Under 30 mins",Calls[[#This Row],[Duration (Min)]]&lt;=60,"Under 1h",Calls[[#This Row],[Duration (Min)]]&lt;=120,"Under 2",TRUE,"More than 2h")</f>
        <v>Under 2</v>
      </c>
      <c r="J619">
        <f>IF(MONTH(Calls[[#This Row],[Date of Call]])&lt;=3,YEAR(Calls[[#This Row],[Date of Call]]),YEAR(Calls[[#This Row],[Date of Call]])+1)</f>
        <v>2026</v>
      </c>
      <c r="K619" t="str">
        <f>TEXT(Calls[[#This Row],[Date of Call]],"dddd")</f>
        <v>Sunday</v>
      </c>
      <c r="L619" t="str">
        <f>TEXT(Calls[[#This Row],[Date of Call]],"mmm")</f>
        <v>May</v>
      </c>
    </row>
    <row r="620" spans="1:12" x14ac:dyDescent="0.3">
      <c r="A620" t="s">
        <v>624</v>
      </c>
      <c r="B620" t="s">
        <v>1012</v>
      </c>
      <c r="C620">
        <v>127</v>
      </c>
      <c r="D620" t="s">
        <v>1028</v>
      </c>
      <c r="E620" t="s">
        <v>1156</v>
      </c>
      <c r="F620">
        <v>80</v>
      </c>
      <c r="G620">
        <v>3.1</v>
      </c>
      <c r="H620">
        <f>ROUND(Calls[[#This Row],[Satisfactory Rating]],0)</f>
        <v>3</v>
      </c>
      <c r="I620" t="str" cm="1">
        <f t="array" ref="I620">_xlfn.IFS(Calls[[#This Row],[Duration (Min)]]&lt;=30,"Under 30 mins",Calls[[#This Row],[Duration (Min)]]&lt;=60,"Under 1h",Calls[[#This Row],[Duration (Min)]]&lt;=120,"Under 2",TRUE,"More than 2h")</f>
        <v>More than 2h</v>
      </c>
      <c r="J620">
        <f>IF(MONTH(Calls[[#This Row],[Date of Call]])&lt;=3,YEAR(Calls[[#This Row],[Date of Call]]),YEAR(Calls[[#This Row],[Date of Call]])+1)</f>
        <v>2026</v>
      </c>
      <c r="K620" t="str">
        <f>TEXT(Calls[[#This Row],[Date of Call]],"dddd")</f>
        <v>Sunday</v>
      </c>
      <c r="L620" t="str">
        <f>TEXT(Calls[[#This Row],[Date of Call]],"mmm")</f>
        <v>May</v>
      </c>
    </row>
    <row r="621" spans="1:12" x14ac:dyDescent="0.3">
      <c r="A621" t="s">
        <v>625</v>
      </c>
      <c r="B621" t="s">
        <v>1007</v>
      </c>
      <c r="C621">
        <v>37</v>
      </c>
      <c r="D621" t="s">
        <v>1026</v>
      </c>
      <c r="E621" t="s">
        <v>1156</v>
      </c>
      <c r="F621">
        <v>83</v>
      </c>
      <c r="G621">
        <v>1.2</v>
      </c>
      <c r="H621">
        <f>ROUND(Calls[[#This Row],[Satisfactory Rating]],0)</f>
        <v>1</v>
      </c>
      <c r="I621" t="str" cm="1">
        <f t="array" ref="I621">_xlfn.IFS(Calls[[#This Row],[Duration (Min)]]&lt;=30,"Under 30 mins",Calls[[#This Row],[Duration (Min)]]&lt;=60,"Under 1h",Calls[[#This Row],[Duration (Min)]]&lt;=120,"Under 2",TRUE,"More than 2h")</f>
        <v>Under 1h</v>
      </c>
      <c r="J621">
        <f>IF(MONTH(Calls[[#This Row],[Date of Call]])&lt;=3,YEAR(Calls[[#This Row],[Date of Call]]),YEAR(Calls[[#This Row],[Date of Call]])+1)</f>
        <v>2026</v>
      </c>
      <c r="K621" t="str">
        <f>TEXT(Calls[[#This Row],[Date of Call]],"dddd")</f>
        <v>Sunday</v>
      </c>
      <c r="L621" t="str">
        <f>TEXT(Calls[[#This Row],[Date of Call]],"mmm")</f>
        <v>May</v>
      </c>
    </row>
    <row r="622" spans="1:12" x14ac:dyDescent="0.3">
      <c r="A622" t="s">
        <v>626</v>
      </c>
      <c r="B622" t="s">
        <v>1010</v>
      </c>
      <c r="C622">
        <v>41</v>
      </c>
      <c r="D622" t="s">
        <v>1030</v>
      </c>
      <c r="E622" t="s">
        <v>1157</v>
      </c>
      <c r="F622">
        <v>121</v>
      </c>
      <c r="G622">
        <v>3.1</v>
      </c>
      <c r="H622">
        <f>ROUND(Calls[[#This Row],[Satisfactory Rating]],0)</f>
        <v>3</v>
      </c>
      <c r="I622" t="str" cm="1">
        <f t="array" ref="I622">_xlfn.IFS(Calls[[#This Row],[Duration (Min)]]&lt;=30,"Under 30 mins",Calls[[#This Row],[Duration (Min)]]&lt;=60,"Under 1h",Calls[[#This Row],[Duration (Min)]]&lt;=120,"Under 2",TRUE,"More than 2h")</f>
        <v>Under 1h</v>
      </c>
      <c r="J622">
        <f>IF(MONTH(Calls[[#This Row],[Date of Call]])&lt;=3,YEAR(Calls[[#This Row],[Date of Call]]),YEAR(Calls[[#This Row],[Date of Call]])+1)</f>
        <v>2026</v>
      </c>
      <c r="K622" t="str">
        <f>TEXT(Calls[[#This Row],[Date of Call]],"dddd")</f>
        <v>Monday</v>
      </c>
      <c r="L622" t="str">
        <f>TEXT(Calls[[#This Row],[Date of Call]],"mmm")</f>
        <v>May</v>
      </c>
    </row>
    <row r="623" spans="1:12" x14ac:dyDescent="0.3">
      <c r="A623" t="s">
        <v>627</v>
      </c>
      <c r="B623" t="s">
        <v>1010</v>
      </c>
      <c r="C623">
        <v>79</v>
      </c>
      <c r="D623" t="s">
        <v>1028</v>
      </c>
      <c r="E623" t="s">
        <v>1157</v>
      </c>
      <c r="F623">
        <v>49</v>
      </c>
      <c r="G623">
        <v>1.1000000000000001</v>
      </c>
      <c r="H623">
        <f>ROUND(Calls[[#This Row],[Satisfactory Rating]],0)</f>
        <v>1</v>
      </c>
      <c r="I623" t="str" cm="1">
        <f t="array" ref="I623">_xlfn.IFS(Calls[[#This Row],[Duration (Min)]]&lt;=30,"Under 30 mins",Calls[[#This Row],[Duration (Min)]]&lt;=60,"Under 1h",Calls[[#This Row],[Duration (Min)]]&lt;=120,"Under 2",TRUE,"More than 2h")</f>
        <v>Under 2</v>
      </c>
      <c r="J623">
        <f>IF(MONTH(Calls[[#This Row],[Date of Call]])&lt;=3,YEAR(Calls[[#This Row],[Date of Call]]),YEAR(Calls[[#This Row],[Date of Call]])+1)</f>
        <v>2026</v>
      </c>
      <c r="K623" t="str">
        <f>TEXT(Calls[[#This Row],[Date of Call]],"dddd")</f>
        <v>Monday</v>
      </c>
      <c r="L623" t="str">
        <f>TEXT(Calls[[#This Row],[Date of Call]],"mmm")</f>
        <v>May</v>
      </c>
    </row>
    <row r="624" spans="1:12" x14ac:dyDescent="0.3">
      <c r="A624" t="s">
        <v>628</v>
      </c>
      <c r="B624" t="s">
        <v>1022</v>
      </c>
      <c r="C624">
        <v>72</v>
      </c>
      <c r="D624" t="s">
        <v>1030</v>
      </c>
      <c r="E624" t="s">
        <v>1157</v>
      </c>
      <c r="F624">
        <v>134</v>
      </c>
      <c r="G624">
        <v>4.5999999999999996</v>
      </c>
      <c r="H624">
        <f>ROUND(Calls[[#This Row],[Satisfactory Rating]],0)</f>
        <v>5</v>
      </c>
      <c r="I624" t="str" cm="1">
        <f t="array" ref="I624">_xlfn.IFS(Calls[[#This Row],[Duration (Min)]]&lt;=30,"Under 30 mins",Calls[[#This Row],[Duration (Min)]]&lt;=60,"Under 1h",Calls[[#This Row],[Duration (Min)]]&lt;=120,"Under 2",TRUE,"More than 2h")</f>
        <v>Under 2</v>
      </c>
      <c r="J624">
        <f>IF(MONTH(Calls[[#This Row],[Date of Call]])&lt;=3,YEAR(Calls[[#This Row],[Date of Call]]),YEAR(Calls[[#This Row],[Date of Call]])+1)</f>
        <v>2026</v>
      </c>
      <c r="K624" t="str">
        <f>TEXT(Calls[[#This Row],[Date of Call]],"dddd")</f>
        <v>Monday</v>
      </c>
      <c r="L624" t="str">
        <f>TEXT(Calls[[#This Row],[Date of Call]],"mmm")</f>
        <v>May</v>
      </c>
    </row>
    <row r="625" spans="1:12" x14ac:dyDescent="0.3">
      <c r="A625" t="s">
        <v>629</v>
      </c>
      <c r="B625" t="s">
        <v>1023</v>
      </c>
      <c r="C625">
        <v>145</v>
      </c>
      <c r="D625" t="s">
        <v>1026</v>
      </c>
      <c r="E625" t="s">
        <v>1157</v>
      </c>
      <c r="F625">
        <v>35</v>
      </c>
      <c r="G625">
        <v>3.9</v>
      </c>
      <c r="H625">
        <f>ROUND(Calls[[#This Row],[Satisfactory Rating]],0)</f>
        <v>4</v>
      </c>
      <c r="I625" t="str" cm="1">
        <f t="array" ref="I625">_xlfn.IFS(Calls[[#This Row],[Duration (Min)]]&lt;=30,"Under 30 mins",Calls[[#This Row],[Duration (Min)]]&lt;=60,"Under 1h",Calls[[#This Row],[Duration (Min)]]&lt;=120,"Under 2",TRUE,"More than 2h")</f>
        <v>More than 2h</v>
      </c>
      <c r="J625">
        <f>IF(MONTH(Calls[[#This Row],[Date of Call]])&lt;=3,YEAR(Calls[[#This Row],[Date of Call]]),YEAR(Calls[[#This Row],[Date of Call]])+1)</f>
        <v>2026</v>
      </c>
      <c r="K625" t="str">
        <f>TEXT(Calls[[#This Row],[Date of Call]],"dddd")</f>
        <v>Monday</v>
      </c>
      <c r="L625" t="str">
        <f>TEXT(Calls[[#This Row],[Date of Call]],"mmm")</f>
        <v>May</v>
      </c>
    </row>
    <row r="626" spans="1:12" x14ac:dyDescent="0.3">
      <c r="A626" t="s">
        <v>630</v>
      </c>
      <c r="B626" t="s">
        <v>1019</v>
      </c>
      <c r="C626">
        <v>74</v>
      </c>
      <c r="D626" t="s">
        <v>1032</v>
      </c>
      <c r="E626" t="s">
        <v>1157</v>
      </c>
      <c r="F626">
        <v>138</v>
      </c>
      <c r="G626">
        <v>4.2</v>
      </c>
      <c r="H626">
        <f>ROUND(Calls[[#This Row],[Satisfactory Rating]],0)</f>
        <v>4</v>
      </c>
      <c r="I626" t="str" cm="1">
        <f t="array" ref="I626">_xlfn.IFS(Calls[[#This Row],[Duration (Min)]]&lt;=30,"Under 30 mins",Calls[[#This Row],[Duration (Min)]]&lt;=60,"Under 1h",Calls[[#This Row],[Duration (Min)]]&lt;=120,"Under 2",TRUE,"More than 2h")</f>
        <v>Under 2</v>
      </c>
      <c r="J626">
        <f>IF(MONTH(Calls[[#This Row],[Date of Call]])&lt;=3,YEAR(Calls[[#This Row],[Date of Call]]),YEAR(Calls[[#This Row],[Date of Call]])+1)</f>
        <v>2026</v>
      </c>
      <c r="K626" t="str">
        <f>TEXT(Calls[[#This Row],[Date of Call]],"dddd")</f>
        <v>Monday</v>
      </c>
      <c r="L626" t="str">
        <f>TEXT(Calls[[#This Row],[Date of Call]],"mmm")</f>
        <v>May</v>
      </c>
    </row>
    <row r="627" spans="1:12" x14ac:dyDescent="0.3">
      <c r="A627" t="s">
        <v>631</v>
      </c>
      <c r="B627" t="s">
        <v>1021</v>
      </c>
      <c r="C627">
        <v>104</v>
      </c>
      <c r="D627" t="s">
        <v>1031</v>
      </c>
      <c r="E627" t="s">
        <v>1158</v>
      </c>
      <c r="F627">
        <v>39</v>
      </c>
      <c r="G627">
        <v>4.8</v>
      </c>
      <c r="H627">
        <f>ROUND(Calls[[#This Row],[Satisfactory Rating]],0)</f>
        <v>5</v>
      </c>
      <c r="I627" t="str" cm="1">
        <f t="array" ref="I627">_xlfn.IFS(Calls[[#This Row],[Duration (Min)]]&lt;=30,"Under 30 mins",Calls[[#This Row],[Duration (Min)]]&lt;=60,"Under 1h",Calls[[#This Row],[Duration (Min)]]&lt;=120,"Under 2",TRUE,"More than 2h")</f>
        <v>Under 2</v>
      </c>
      <c r="J627">
        <f>IF(MONTH(Calls[[#This Row],[Date of Call]])&lt;=3,YEAR(Calls[[#This Row],[Date of Call]]),YEAR(Calls[[#This Row],[Date of Call]])+1)</f>
        <v>2026</v>
      </c>
      <c r="K627" t="str">
        <f>TEXT(Calls[[#This Row],[Date of Call]],"dddd")</f>
        <v>Tuesday</v>
      </c>
      <c r="L627" t="str">
        <f>TEXT(Calls[[#This Row],[Date of Call]],"mmm")</f>
        <v>May</v>
      </c>
    </row>
    <row r="628" spans="1:12" x14ac:dyDescent="0.3">
      <c r="A628" t="s">
        <v>632</v>
      </c>
      <c r="B628" t="s">
        <v>1007</v>
      </c>
      <c r="C628">
        <v>85</v>
      </c>
      <c r="D628" t="s">
        <v>1027</v>
      </c>
      <c r="E628" t="s">
        <v>1158</v>
      </c>
      <c r="F628">
        <v>68</v>
      </c>
      <c r="G628">
        <v>1.1000000000000001</v>
      </c>
      <c r="H628">
        <f>ROUND(Calls[[#This Row],[Satisfactory Rating]],0)</f>
        <v>1</v>
      </c>
      <c r="I628" t="str" cm="1">
        <f t="array" ref="I628">_xlfn.IFS(Calls[[#This Row],[Duration (Min)]]&lt;=30,"Under 30 mins",Calls[[#This Row],[Duration (Min)]]&lt;=60,"Under 1h",Calls[[#This Row],[Duration (Min)]]&lt;=120,"Under 2",TRUE,"More than 2h")</f>
        <v>Under 2</v>
      </c>
      <c r="J628">
        <f>IF(MONTH(Calls[[#This Row],[Date of Call]])&lt;=3,YEAR(Calls[[#This Row],[Date of Call]]),YEAR(Calls[[#This Row],[Date of Call]])+1)</f>
        <v>2026</v>
      </c>
      <c r="K628" t="str">
        <f>TEXT(Calls[[#This Row],[Date of Call]],"dddd")</f>
        <v>Tuesday</v>
      </c>
      <c r="L628" t="str">
        <f>TEXT(Calls[[#This Row],[Date of Call]],"mmm")</f>
        <v>May</v>
      </c>
    </row>
    <row r="629" spans="1:12" x14ac:dyDescent="0.3">
      <c r="A629" t="s">
        <v>633</v>
      </c>
      <c r="B629" t="s">
        <v>1025</v>
      </c>
      <c r="C629">
        <v>19</v>
      </c>
      <c r="D629" t="s">
        <v>1031</v>
      </c>
      <c r="E629" t="s">
        <v>1158</v>
      </c>
      <c r="F629">
        <v>89</v>
      </c>
      <c r="G629">
        <v>1.6</v>
      </c>
      <c r="H629">
        <f>ROUND(Calls[[#This Row],[Satisfactory Rating]],0)</f>
        <v>2</v>
      </c>
      <c r="I629" t="str" cm="1">
        <f t="array" ref="I629">_xlfn.IFS(Calls[[#This Row],[Duration (Min)]]&lt;=30,"Under 30 mins",Calls[[#This Row],[Duration (Min)]]&lt;=60,"Under 1h",Calls[[#This Row],[Duration (Min)]]&lt;=120,"Under 2",TRUE,"More than 2h")</f>
        <v>Under 30 mins</v>
      </c>
      <c r="J629">
        <f>IF(MONTH(Calls[[#This Row],[Date of Call]])&lt;=3,YEAR(Calls[[#This Row],[Date of Call]]),YEAR(Calls[[#This Row],[Date of Call]])+1)</f>
        <v>2026</v>
      </c>
      <c r="K629" t="str">
        <f>TEXT(Calls[[#This Row],[Date of Call]],"dddd")</f>
        <v>Tuesday</v>
      </c>
      <c r="L629" t="str">
        <f>TEXT(Calls[[#This Row],[Date of Call]],"mmm")</f>
        <v>May</v>
      </c>
    </row>
    <row r="630" spans="1:12" x14ac:dyDescent="0.3">
      <c r="A630" t="s">
        <v>634</v>
      </c>
      <c r="B630" t="s">
        <v>1017</v>
      </c>
      <c r="C630">
        <v>153</v>
      </c>
      <c r="D630" t="s">
        <v>1027</v>
      </c>
      <c r="E630" t="s">
        <v>1158</v>
      </c>
      <c r="F630">
        <v>101</v>
      </c>
      <c r="G630">
        <v>1.2</v>
      </c>
      <c r="H630">
        <f>ROUND(Calls[[#This Row],[Satisfactory Rating]],0)</f>
        <v>1</v>
      </c>
      <c r="I630" t="str" cm="1">
        <f t="array" ref="I630">_xlfn.IFS(Calls[[#This Row],[Duration (Min)]]&lt;=30,"Under 30 mins",Calls[[#This Row],[Duration (Min)]]&lt;=60,"Under 1h",Calls[[#This Row],[Duration (Min)]]&lt;=120,"Under 2",TRUE,"More than 2h")</f>
        <v>More than 2h</v>
      </c>
      <c r="J630">
        <f>IF(MONTH(Calls[[#This Row],[Date of Call]])&lt;=3,YEAR(Calls[[#This Row],[Date of Call]]),YEAR(Calls[[#This Row],[Date of Call]])+1)</f>
        <v>2026</v>
      </c>
      <c r="K630" t="str">
        <f>TEXT(Calls[[#This Row],[Date of Call]],"dddd")</f>
        <v>Tuesday</v>
      </c>
      <c r="L630" t="str">
        <f>TEXT(Calls[[#This Row],[Date of Call]],"mmm")</f>
        <v>May</v>
      </c>
    </row>
    <row r="631" spans="1:12" x14ac:dyDescent="0.3">
      <c r="A631" t="s">
        <v>635</v>
      </c>
      <c r="B631" t="s">
        <v>1010</v>
      </c>
      <c r="C631">
        <v>64</v>
      </c>
      <c r="D631" t="s">
        <v>1026</v>
      </c>
      <c r="E631" t="s">
        <v>1158</v>
      </c>
      <c r="F631">
        <v>141</v>
      </c>
      <c r="G631">
        <v>1.9</v>
      </c>
      <c r="H631">
        <f>ROUND(Calls[[#This Row],[Satisfactory Rating]],0)</f>
        <v>2</v>
      </c>
      <c r="I631" t="str" cm="1">
        <f t="array" ref="I631">_xlfn.IFS(Calls[[#This Row],[Duration (Min)]]&lt;=30,"Under 30 mins",Calls[[#This Row],[Duration (Min)]]&lt;=60,"Under 1h",Calls[[#This Row],[Duration (Min)]]&lt;=120,"Under 2",TRUE,"More than 2h")</f>
        <v>Under 2</v>
      </c>
      <c r="J631">
        <f>IF(MONTH(Calls[[#This Row],[Date of Call]])&lt;=3,YEAR(Calls[[#This Row],[Date of Call]]),YEAR(Calls[[#This Row],[Date of Call]])+1)</f>
        <v>2026</v>
      </c>
      <c r="K631" t="str">
        <f>TEXT(Calls[[#This Row],[Date of Call]],"dddd")</f>
        <v>Tuesday</v>
      </c>
      <c r="L631" t="str">
        <f>TEXT(Calls[[#This Row],[Date of Call]],"mmm")</f>
        <v>May</v>
      </c>
    </row>
    <row r="632" spans="1:12" x14ac:dyDescent="0.3">
      <c r="A632" t="s">
        <v>636</v>
      </c>
      <c r="B632" t="s">
        <v>1015</v>
      </c>
      <c r="C632">
        <v>160</v>
      </c>
      <c r="D632" t="s">
        <v>1026</v>
      </c>
      <c r="E632" t="s">
        <v>1159</v>
      </c>
      <c r="F632">
        <v>42</v>
      </c>
      <c r="G632">
        <v>1.8</v>
      </c>
      <c r="H632">
        <f>ROUND(Calls[[#This Row],[Satisfactory Rating]],0)</f>
        <v>2</v>
      </c>
      <c r="I632" t="str" cm="1">
        <f t="array" ref="I632">_xlfn.IFS(Calls[[#This Row],[Duration (Min)]]&lt;=30,"Under 30 mins",Calls[[#This Row],[Duration (Min)]]&lt;=60,"Under 1h",Calls[[#This Row],[Duration (Min)]]&lt;=120,"Under 2",TRUE,"More than 2h")</f>
        <v>More than 2h</v>
      </c>
      <c r="J632">
        <f>IF(MONTH(Calls[[#This Row],[Date of Call]])&lt;=3,YEAR(Calls[[#This Row],[Date of Call]]),YEAR(Calls[[#This Row],[Date of Call]])+1)</f>
        <v>2026</v>
      </c>
      <c r="K632" t="str">
        <f>TEXT(Calls[[#This Row],[Date of Call]],"dddd")</f>
        <v>Wednesday</v>
      </c>
      <c r="L632" t="str">
        <f>TEXT(Calls[[#This Row],[Date of Call]],"mmm")</f>
        <v>May</v>
      </c>
    </row>
    <row r="633" spans="1:12" x14ac:dyDescent="0.3">
      <c r="A633" t="s">
        <v>637</v>
      </c>
      <c r="B633" t="s">
        <v>1006</v>
      </c>
      <c r="C633">
        <v>109</v>
      </c>
      <c r="D633" t="s">
        <v>1030</v>
      </c>
      <c r="E633" t="s">
        <v>1159</v>
      </c>
      <c r="F633">
        <v>94</v>
      </c>
      <c r="G633">
        <v>4.2</v>
      </c>
      <c r="H633">
        <f>ROUND(Calls[[#This Row],[Satisfactory Rating]],0)</f>
        <v>4</v>
      </c>
      <c r="I633" t="str" cm="1">
        <f t="array" ref="I633">_xlfn.IFS(Calls[[#This Row],[Duration (Min)]]&lt;=30,"Under 30 mins",Calls[[#This Row],[Duration (Min)]]&lt;=60,"Under 1h",Calls[[#This Row],[Duration (Min)]]&lt;=120,"Under 2",TRUE,"More than 2h")</f>
        <v>Under 2</v>
      </c>
      <c r="J633">
        <f>IF(MONTH(Calls[[#This Row],[Date of Call]])&lt;=3,YEAR(Calls[[#This Row],[Date of Call]]),YEAR(Calls[[#This Row],[Date of Call]])+1)</f>
        <v>2026</v>
      </c>
      <c r="K633" t="str">
        <f>TEXT(Calls[[#This Row],[Date of Call]],"dddd")</f>
        <v>Wednesday</v>
      </c>
      <c r="L633" t="str">
        <f>TEXT(Calls[[#This Row],[Date of Call]],"mmm")</f>
        <v>May</v>
      </c>
    </row>
    <row r="634" spans="1:12" x14ac:dyDescent="0.3">
      <c r="A634" t="s">
        <v>638</v>
      </c>
      <c r="B634" t="s">
        <v>1008</v>
      </c>
      <c r="C634">
        <v>49</v>
      </c>
      <c r="D634" t="s">
        <v>1028</v>
      </c>
      <c r="E634" t="s">
        <v>1159</v>
      </c>
      <c r="F634">
        <v>114</v>
      </c>
      <c r="G634">
        <v>3.4</v>
      </c>
      <c r="H634">
        <f>ROUND(Calls[[#This Row],[Satisfactory Rating]],0)</f>
        <v>3</v>
      </c>
      <c r="I634" t="str" cm="1">
        <f t="array" ref="I634">_xlfn.IFS(Calls[[#This Row],[Duration (Min)]]&lt;=30,"Under 30 mins",Calls[[#This Row],[Duration (Min)]]&lt;=60,"Under 1h",Calls[[#This Row],[Duration (Min)]]&lt;=120,"Under 2",TRUE,"More than 2h")</f>
        <v>Under 1h</v>
      </c>
      <c r="J634">
        <f>IF(MONTH(Calls[[#This Row],[Date of Call]])&lt;=3,YEAR(Calls[[#This Row],[Date of Call]]),YEAR(Calls[[#This Row],[Date of Call]])+1)</f>
        <v>2026</v>
      </c>
      <c r="K634" t="str">
        <f>TEXT(Calls[[#This Row],[Date of Call]],"dddd")</f>
        <v>Wednesday</v>
      </c>
      <c r="L634" t="str">
        <f>TEXT(Calls[[#This Row],[Date of Call]],"mmm")</f>
        <v>May</v>
      </c>
    </row>
    <row r="635" spans="1:12" x14ac:dyDescent="0.3">
      <c r="A635" t="s">
        <v>639</v>
      </c>
      <c r="B635" t="s">
        <v>1020</v>
      </c>
      <c r="C635">
        <v>39</v>
      </c>
      <c r="D635" t="s">
        <v>1026</v>
      </c>
      <c r="E635" t="s">
        <v>1159</v>
      </c>
      <c r="F635">
        <v>71</v>
      </c>
      <c r="G635">
        <v>2.1</v>
      </c>
      <c r="H635">
        <f>ROUND(Calls[[#This Row],[Satisfactory Rating]],0)</f>
        <v>2</v>
      </c>
      <c r="I635" t="str" cm="1">
        <f t="array" ref="I635">_xlfn.IFS(Calls[[#This Row],[Duration (Min)]]&lt;=30,"Under 30 mins",Calls[[#This Row],[Duration (Min)]]&lt;=60,"Under 1h",Calls[[#This Row],[Duration (Min)]]&lt;=120,"Under 2",TRUE,"More than 2h")</f>
        <v>Under 1h</v>
      </c>
      <c r="J635">
        <f>IF(MONTH(Calls[[#This Row],[Date of Call]])&lt;=3,YEAR(Calls[[#This Row],[Date of Call]]),YEAR(Calls[[#This Row],[Date of Call]])+1)</f>
        <v>2026</v>
      </c>
      <c r="K635" t="str">
        <f>TEXT(Calls[[#This Row],[Date of Call]],"dddd")</f>
        <v>Wednesday</v>
      </c>
      <c r="L635" t="str">
        <f>TEXT(Calls[[#This Row],[Date of Call]],"mmm")</f>
        <v>May</v>
      </c>
    </row>
    <row r="636" spans="1:12" x14ac:dyDescent="0.3">
      <c r="A636" t="s">
        <v>640</v>
      </c>
      <c r="B636" t="s">
        <v>1008</v>
      </c>
      <c r="C636">
        <v>56</v>
      </c>
      <c r="D636" t="s">
        <v>1029</v>
      </c>
      <c r="E636" t="s">
        <v>1159</v>
      </c>
      <c r="F636">
        <v>31</v>
      </c>
      <c r="G636">
        <v>1.9</v>
      </c>
      <c r="H636">
        <f>ROUND(Calls[[#This Row],[Satisfactory Rating]],0)</f>
        <v>2</v>
      </c>
      <c r="I636" t="str" cm="1">
        <f t="array" ref="I636">_xlfn.IFS(Calls[[#This Row],[Duration (Min)]]&lt;=30,"Under 30 mins",Calls[[#This Row],[Duration (Min)]]&lt;=60,"Under 1h",Calls[[#This Row],[Duration (Min)]]&lt;=120,"Under 2",TRUE,"More than 2h")</f>
        <v>Under 1h</v>
      </c>
      <c r="J636">
        <f>IF(MONTH(Calls[[#This Row],[Date of Call]])&lt;=3,YEAR(Calls[[#This Row],[Date of Call]]),YEAR(Calls[[#This Row],[Date of Call]])+1)</f>
        <v>2026</v>
      </c>
      <c r="K636" t="str">
        <f>TEXT(Calls[[#This Row],[Date of Call]],"dddd")</f>
        <v>Wednesday</v>
      </c>
      <c r="L636" t="str">
        <f>TEXT(Calls[[#This Row],[Date of Call]],"mmm")</f>
        <v>May</v>
      </c>
    </row>
    <row r="637" spans="1:12" x14ac:dyDescent="0.3">
      <c r="A637" t="s">
        <v>641</v>
      </c>
      <c r="B637" t="s">
        <v>1016</v>
      </c>
      <c r="C637">
        <v>10</v>
      </c>
      <c r="D637" t="s">
        <v>1030</v>
      </c>
      <c r="E637" t="s">
        <v>1160</v>
      </c>
      <c r="F637">
        <v>69</v>
      </c>
      <c r="G637">
        <v>1.9</v>
      </c>
      <c r="H637">
        <f>ROUND(Calls[[#This Row],[Satisfactory Rating]],0)</f>
        <v>2</v>
      </c>
      <c r="I637" t="str" cm="1">
        <f t="array" ref="I637">_xlfn.IFS(Calls[[#This Row],[Duration (Min)]]&lt;=30,"Under 30 mins",Calls[[#This Row],[Duration (Min)]]&lt;=60,"Under 1h",Calls[[#This Row],[Duration (Min)]]&lt;=120,"Under 2",TRUE,"More than 2h")</f>
        <v>Under 30 mins</v>
      </c>
      <c r="J637">
        <f>IF(MONTH(Calls[[#This Row],[Date of Call]])&lt;=3,YEAR(Calls[[#This Row],[Date of Call]]),YEAR(Calls[[#This Row],[Date of Call]])+1)</f>
        <v>2026</v>
      </c>
      <c r="K637" t="str">
        <f>TEXT(Calls[[#This Row],[Date of Call]],"dddd")</f>
        <v>Thursday</v>
      </c>
      <c r="L637" t="str">
        <f>TEXT(Calls[[#This Row],[Date of Call]],"mmm")</f>
        <v>May</v>
      </c>
    </row>
    <row r="638" spans="1:12" x14ac:dyDescent="0.3">
      <c r="A638" t="s">
        <v>642</v>
      </c>
      <c r="B638" t="s">
        <v>1018</v>
      </c>
      <c r="C638">
        <v>144</v>
      </c>
      <c r="D638" t="s">
        <v>1030</v>
      </c>
      <c r="E638" t="s">
        <v>1160</v>
      </c>
      <c r="F638">
        <v>80</v>
      </c>
      <c r="G638">
        <v>1.2</v>
      </c>
      <c r="H638">
        <f>ROUND(Calls[[#This Row],[Satisfactory Rating]],0)</f>
        <v>1</v>
      </c>
      <c r="I638" t="str" cm="1">
        <f t="array" ref="I638">_xlfn.IFS(Calls[[#This Row],[Duration (Min)]]&lt;=30,"Under 30 mins",Calls[[#This Row],[Duration (Min)]]&lt;=60,"Under 1h",Calls[[#This Row],[Duration (Min)]]&lt;=120,"Under 2",TRUE,"More than 2h")</f>
        <v>More than 2h</v>
      </c>
      <c r="J638">
        <f>IF(MONTH(Calls[[#This Row],[Date of Call]])&lt;=3,YEAR(Calls[[#This Row],[Date of Call]]),YEAR(Calls[[#This Row],[Date of Call]])+1)</f>
        <v>2026</v>
      </c>
      <c r="K638" t="str">
        <f>TEXT(Calls[[#This Row],[Date of Call]],"dddd")</f>
        <v>Thursday</v>
      </c>
      <c r="L638" t="str">
        <f>TEXT(Calls[[#This Row],[Date of Call]],"mmm")</f>
        <v>May</v>
      </c>
    </row>
    <row r="639" spans="1:12" x14ac:dyDescent="0.3">
      <c r="A639" t="s">
        <v>643</v>
      </c>
      <c r="B639" t="s">
        <v>1020</v>
      </c>
      <c r="C639">
        <v>149</v>
      </c>
      <c r="D639" t="s">
        <v>1029</v>
      </c>
      <c r="E639" t="s">
        <v>1160</v>
      </c>
      <c r="F639">
        <v>141</v>
      </c>
      <c r="G639">
        <v>4.9000000000000004</v>
      </c>
      <c r="H639">
        <f>ROUND(Calls[[#This Row],[Satisfactory Rating]],0)</f>
        <v>5</v>
      </c>
      <c r="I639" t="str" cm="1">
        <f t="array" ref="I639">_xlfn.IFS(Calls[[#This Row],[Duration (Min)]]&lt;=30,"Under 30 mins",Calls[[#This Row],[Duration (Min)]]&lt;=60,"Under 1h",Calls[[#This Row],[Duration (Min)]]&lt;=120,"Under 2",TRUE,"More than 2h")</f>
        <v>More than 2h</v>
      </c>
      <c r="J639">
        <f>IF(MONTH(Calls[[#This Row],[Date of Call]])&lt;=3,YEAR(Calls[[#This Row],[Date of Call]]),YEAR(Calls[[#This Row],[Date of Call]])+1)</f>
        <v>2026</v>
      </c>
      <c r="K639" t="str">
        <f>TEXT(Calls[[#This Row],[Date of Call]],"dddd")</f>
        <v>Thursday</v>
      </c>
      <c r="L639" t="str">
        <f>TEXT(Calls[[#This Row],[Date of Call]],"mmm")</f>
        <v>May</v>
      </c>
    </row>
    <row r="640" spans="1:12" x14ac:dyDescent="0.3">
      <c r="A640" t="s">
        <v>644</v>
      </c>
      <c r="B640" t="s">
        <v>1006</v>
      </c>
      <c r="C640">
        <v>115</v>
      </c>
      <c r="D640" t="s">
        <v>1030</v>
      </c>
      <c r="E640" t="s">
        <v>1160</v>
      </c>
      <c r="F640">
        <v>46</v>
      </c>
      <c r="G640">
        <v>4.3</v>
      </c>
      <c r="H640">
        <f>ROUND(Calls[[#This Row],[Satisfactory Rating]],0)</f>
        <v>4</v>
      </c>
      <c r="I640" t="str" cm="1">
        <f t="array" ref="I640">_xlfn.IFS(Calls[[#This Row],[Duration (Min)]]&lt;=30,"Under 30 mins",Calls[[#This Row],[Duration (Min)]]&lt;=60,"Under 1h",Calls[[#This Row],[Duration (Min)]]&lt;=120,"Under 2",TRUE,"More than 2h")</f>
        <v>Under 2</v>
      </c>
      <c r="J640">
        <f>IF(MONTH(Calls[[#This Row],[Date of Call]])&lt;=3,YEAR(Calls[[#This Row],[Date of Call]]),YEAR(Calls[[#This Row],[Date of Call]])+1)</f>
        <v>2026</v>
      </c>
      <c r="K640" t="str">
        <f>TEXT(Calls[[#This Row],[Date of Call]],"dddd")</f>
        <v>Thursday</v>
      </c>
      <c r="L640" t="str">
        <f>TEXT(Calls[[#This Row],[Date of Call]],"mmm")</f>
        <v>May</v>
      </c>
    </row>
    <row r="641" spans="1:12" x14ac:dyDescent="0.3">
      <c r="A641" t="s">
        <v>645</v>
      </c>
      <c r="B641" t="s">
        <v>1025</v>
      </c>
      <c r="C641">
        <v>21</v>
      </c>
      <c r="D641" t="s">
        <v>1028</v>
      </c>
      <c r="E641" t="s">
        <v>1160</v>
      </c>
      <c r="F641">
        <v>32</v>
      </c>
      <c r="G641">
        <v>2.2000000000000002</v>
      </c>
      <c r="H641">
        <f>ROUND(Calls[[#This Row],[Satisfactory Rating]],0)</f>
        <v>2</v>
      </c>
      <c r="I641" t="str" cm="1">
        <f t="array" ref="I641">_xlfn.IFS(Calls[[#This Row],[Duration (Min)]]&lt;=30,"Under 30 mins",Calls[[#This Row],[Duration (Min)]]&lt;=60,"Under 1h",Calls[[#This Row],[Duration (Min)]]&lt;=120,"Under 2",TRUE,"More than 2h")</f>
        <v>Under 30 mins</v>
      </c>
      <c r="J641">
        <f>IF(MONTH(Calls[[#This Row],[Date of Call]])&lt;=3,YEAR(Calls[[#This Row],[Date of Call]]),YEAR(Calls[[#This Row],[Date of Call]])+1)</f>
        <v>2026</v>
      </c>
      <c r="K641" t="str">
        <f>TEXT(Calls[[#This Row],[Date of Call]],"dddd")</f>
        <v>Thursday</v>
      </c>
      <c r="L641" t="str">
        <f>TEXT(Calls[[#This Row],[Date of Call]],"mmm")</f>
        <v>May</v>
      </c>
    </row>
    <row r="642" spans="1:12" x14ac:dyDescent="0.3">
      <c r="A642" t="s">
        <v>646</v>
      </c>
      <c r="B642" t="s">
        <v>1014</v>
      </c>
      <c r="C642">
        <v>100</v>
      </c>
      <c r="D642" t="s">
        <v>1030</v>
      </c>
      <c r="E642" t="s">
        <v>1161</v>
      </c>
      <c r="F642">
        <v>43</v>
      </c>
      <c r="G642">
        <v>3.7</v>
      </c>
      <c r="H642">
        <f>ROUND(Calls[[#This Row],[Satisfactory Rating]],0)</f>
        <v>4</v>
      </c>
      <c r="I642" t="str" cm="1">
        <f t="array" ref="I642">_xlfn.IFS(Calls[[#This Row],[Duration (Min)]]&lt;=30,"Under 30 mins",Calls[[#This Row],[Duration (Min)]]&lt;=60,"Under 1h",Calls[[#This Row],[Duration (Min)]]&lt;=120,"Under 2",TRUE,"More than 2h")</f>
        <v>Under 2</v>
      </c>
      <c r="J642">
        <f>IF(MONTH(Calls[[#This Row],[Date of Call]])&lt;=3,YEAR(Calls[[#This Row],[Date of Call]]),YEAR(Calls[[#This Row],[Date of Call]])+1)</f>
        <v>2026</v>
      </c>
      <c r="K642" t="str">
        <f>TEXT(Calls[[#This Row],[Date of Call]],"dddd")</f>
        <v>Friday</v>
      </c>
      <c r="L642" t="str">
        <f>TEXT(Calls[[#This Row],[Date of Call]],"mmm")</f>
        <v>May</v>
      </c>
    </row>
    <row r="643" spans="1:12" x14ac:dyDescent="0.3">
      <c r="A643" t="s">
        <v>647</v>
      </c>
      <c r="B643" t="s">
        <v>1022</v>
      </c>
      <c r="C643">
        <v>86</v>
      </c>
      <c r="D643" t="s">
        <v>1026</v>
      </c>
      <c r="E643" t="s">
        <v>1161</v>
      </c>
      <c r="F643">
        <v>85</v>
      </c>
      <c r="G643">
        <v>3.2</v>
      </c>
      <c r="H643">
        <f>ROUND(Calls[[#This Row],[Satisfactory Rating]],0)</f>
        <v>3</v>
      </c>
      <c r="I643" t="str" cm="1">
        <f t="array" ref="I643">_xlfn.IFS(Calls[[#This Row],[Duration (Min)]]&lt;=30,"Under 30 mins",Calls[[#This Row],[Duration (Min)]]&lt;=60,"Under 1h",Calls[[#This Row],[Duration (Min)]]&lt;=120,"Under 2",TRUE,"More than 2h")</f>
        <v>Under 2</v>
      </c>
      <c r="J643">
        <f>IF(MONTH(Calls[[#This Row],[Date of Call]])&lt;=3,YEAR(Calls[[#This Row],[Date of Call]]),YEAR(Calls[[#This Row],[Date of Call]])+1)</f>
        <v>2026</v>
      </c>
      <c r="K643" t="str">
        <f>TEXT(Calls[[#This Row],[Date of Call]],"dddd")</f>
        <v>Friday</v>
      </c>
      <c r="L643" t="str">
        <f>TEXT(Calls[[#This Row],[Date of Call]],"mmm")</f>
        <v>May</v>
      </c>
    </row>
    <row r="644" spans="1:12" x14ac:dyDescent="0.3">
      <c r="A644" t="s">
        <v>648</v>
      </c>
      <c r="B644" t="s">
        <v>1021</v>
      </c>
      <c r="C644">
        <v>122</v>
      </c>
      <c r="D644" t="s">
        <v>1032</v>
      </c>
      <c r="E644" t="s">
        <v>1161</v>
      </c>
      <c r="F644">
        <v>150</v>
      </c>
      <c r="G644">
        <v>4.4000000000000004</v>
      </c>
      <c r="H644">
        <f>ROUND(Calls[[#This Row],[Satisfactory Rating]],0)</f>
        <v>4</v>
      </c>
      <c r="I644" t="str" cm="1">
        <f t="array" ref="I644">_xlfn.IFS(Calls[[#This Row],[Duration (Min)]]&lt;=30,"Under 30 mins",Calls[[#This Row],[Duration (Min)]]&lt;=60,"Under 1h",Calls[[#This Row],[Duration (Min)]]&lt;=120,"Under 2",TRUE,"More than 2h")</f>
        <v>More than 2h</v>
      </c>
      <c r="J644">
        <f>IF(MONTH(Calls[[#This Row],[Date of Call]])&lt;=3,YEAR(Calls[[#This Row],[Date of Call]]),YEAR(Calls[[#This Row],[Date of Call]])+1)</f>
        <v>2026</v>
      </c>
      <c r="K644" t="str">
        <f>TEXT(Calls[[#This Row],[Date of Call]],"dddd")</f>
        <v>Friday</v>
      </c>
      <c r="L644" t="str">
        <f>TEXT(Calls[[#This Row],[Date of Call]],"mmm")</f>
        <v>May</v>
      </c>
    </row>
    <row r="645" spans="1:12" x14ac:dyDescent="0.3">
      <c r="A645" t="s">
        <v>649</v>
      </c>
      <c r="B645" t="s">
        <v>1023</v>
      </c>
      <c r="C645">
        <v>36</v>
      </c>
      <c r="D645" t="s">
        <v>1030</v>
      </c>
      <c r="E645" t="s">
        <v>1161</v>
      </c>
      <c r="F645">
        <v>20</v>
      </c>
      <c r="G645">
        <v>3.1</v>
      </c>
      <c r="H645">
        <f>ROUND(Calls[[#This Row],[Satisfactory Rating]],0)</f>
        <v>3</v>
      </c>
      <c r="I645" t="str" cm="1">
        <f t="array" ref="I645">_xlfn.IFS(Calls[[#This Row],[Duration (Min)]]&lt;=30,"Under 30 mins",Calls[[#This Row],[Duration (Min)]]&lt;=60,"Under 1h",Calls[[#This Row],[Duration (Min)]]&lt;=120,"Under 2",TRUE,"More than 2h")</f>
        <v>Under 1h</v>
      </c>
      <c r="J645">
        <f>IF(MONTH(Calls[[#This Row],[Date of Call]])&lt;=3,YEAR(Calls[[#This Row],[Date of Call]]),YEAR(Calls[[#This Row],[Date of Call]])+1)</f>
        <v>2026</v>
      </c>
      <c r="K645" t="str">
        <f>TEXT(Calls[[#This Row],[Date of Call]],"dddd")</f>
        <v>Friday</v>
      </c>
      <c r="L645" t="str">
        <f>TEXT(Calls[[#This Row],[Date of Call]],"mmm")</f>
        <v>May</v>
      </c>
    </row>
    <row r="646" spans="1:12" x14ac:dyDescent="0.3">
      <c r="A646" t="s">
        <v>650</v>
      </c>
      <c r="B646" t="s">
        <v>1010</v>
      </c>
      <c r="C646">
        <v>114</v>
      </c>
      <c r="D646" t="s">
        <v>1032</v>
      </c>
      <c r="E646" t="s">
        <v>1161</v>
      </c>
      <c r="F646">
        <v>118</v>
      </c>
      <c r="G646">
        <v>3.9</v>
      </c>
      <c r="H646">
        <f>ROUND(Calls[[#This Row],[Satisfactory Rating]],0)</f>
        <v>4</v>
      </c>
      <c r="I646" t="str" cm="1">
        <f t="array" ref="I646">_xlfn.IFS(Calls[[#This Row],[Duration (Min)]]&lt;=30,"Under 30 mins",Calls[[#This Row],[Duration (Min)]]&lt;=60,"Under 1h",Calls[[#This Row],[Duration (Min)]]&lt;=120,"Under 2",TRUE,"More than 2h")</f>
        <v>Under 2</v>
      </c>
      <c r="J646">
        <f>IF(MONTH(Calls[[#This Row],[Date of Call]])&lt;=3,YEAR(Calls[[#This Row],[Date of Call]]),YEAR(Calls[[#This Row],[Date of Call]])+1)</f>
        <v>2026</v>
      </c>
      <c r="K646" t="str">
        <f>TEXT(Calls[[#This Row],[Date of Call]],"dddd")</f>
        <v>Friday</v>
      </c>
      <c r="L646" t="str">
        <f>TEXT(Calls[[#This Row],[Date of Call]],"mmm")</f>
        <v>May</v>
      </c>
    </row>
    <row r="647" spans="1:12" x14ac:dyDescent="0.3">
      <c r="A647" t="s">
        <v>651</v>
      </c>
      <c r="B647" t="s">
        <v>1021</v>
      </c>
      <c r="C647">
        <v>56</v>
      </c>
      <c r="D647" t="s">
        <v>1028</v>
      </c>
      <c r="E647" t="s">
        <v>1162</v>
      </c>
      <c r="F647">
        <v>27</v>
      </c>
      <c r="G647">
        <v>2.4</v>
      </c>
      <c r="H647">
        <f>ROUND(Calls[[#This Row],[Satisfactory Rating]],0)</f>
        <v>2</v>
      </c>
      <c r="I647" t="str" cm="1">
        <f t="array" ref="I647">_xlfn.IFS(Calls[[#This Row],[Duration (Min)]]&lt;=30,"Under 30 mins",Calls[[#This Row],[Duration (Min)]]&lt;=60,"Under 1h",Calls[[#This Row],[Duration (Min)]]&lt;=120,"Under 2",TRUE,"More than 2h")</f>
        <v>Under 1h</v>
      </c>
      <c r="J647">
        <f>IF(MONTH(Calls[[#This Row],[Date of Call]])&lt;=3,YEAR(Calls[[#This Row],[Date of Call]]),YEAR(Calls[[#This Row],[Date of Call]])+1)</f>
        <v>2026</v>
      </c>
      <c r="K647" t="str">
        <f>TEXT(Calls[[#This Row],[Date of Call]],"dddd")</f>
        <v>Saturday</v>
      </c>
      <c r="L647" t="str">
        <f>TEXT(Calls[[#This Row],[Date of Call]],"mmm")</f>
        <v>May</v>
      </c>
    </row>
    <row r="648" spans="1:12" x14ac:dyDescent="0.3">
      <c r="A648" t="s">
        <v>652</v>
      </c>
      <c r="B648" t="s">
        <v>1019</v>
      </c>
      <c r="C648">
        <v>132</v>
      </c>
      <c r="D648" t="s">
        <v>1028</v>
      </c>
      <c r="E648" t="s">
        <v>1162</v>
      </c>
      <c r="F648">
        <v>126</v>
      </c>
      <c r="G648">
        <v>1.7</v>
      </c>
      <c r="H648">
        <f>ROUND(Calls[[#This Row],[Satisfactory Rating]],0)</f>
        <v>2</v>
      </c>
      <c r="I648" t="str" cm="1">
        <f t="array" ref="I648">_xlfn.IFS(Calls[[#This Row],[Duration (Min)]]&lt;=30,"Under 30 mins",Calls[[#This Row],[Duration (Min)]]&lt;=60,"Under 1h",Calls[[#This Row],[Duration (Min)]]&lt;=120,"Under 2",TRUE,"More than 2h")</f>
        <v>More than 2h</v>
      </c>
      <c r="J648">
        <f>IF(MONTH(Calls[[#This Row],[Date of Call]])&lt;=3,YEAR(Calls[[#This Row],[Date of Call]]),YEAR(Calls[[#This Row],[Date of Call]])+1)</f>
        <v>2026</v>
      </c>
      <c r="K648" t="str">
        <f>TEXT(Calls[[#This Row],[Date of Call]],"dddd")</f>
        <v>Saturday</v>
      </c>
      <c r="L648" t="str">
        <f>TEXT(Calls[[#This Row],[Date of Call]],"mmm")</f>
        <v>May</v>
      </c>
    </row>
    <row r="649" spans="1:12" x14ac:dyDescent="0.3">
      <c r="A649" t="s">
        <v>653</v>
      </c>
      <c r="B649" t="s">
        <v>1017</v>
      </c>
      <c r="C649">
        <v>146</v>
      </c>
      <c r="D649" t="s">
        <v>1031</v>
      </c>
      <c r="E649" t="s">
        <v>1162</v>
      </c>
      <c r="F649">
        <v>89</v>
      </c>
      <c r="G649">
        <v>1.9</v>
      </c>
      <c r="H649">
        <f>ROUND(Calls[[#This Row],[Satisfactory Rating]],0)</f>
        <v>2</v>
      </c>
      <c r="I649" t="str" cm="1">
        <f t="array" ref="I649">_xlfn.IFS(Calls[[#This Row],[Duration (Min)]]&lt;=30,"Under 30 mins",Calls[[#This Row],[Duration (Min)]]&lt;=60,"Under 1h",Calls[[#This Row],[Duration (Min)]]&lt;=120,"Under 2",TRUE,"More than 2h")</f>
        <v>More than 2h</v>
      </c>
      <c r="J649">
        <f>IF(MONTH(Calls[[#This Row],[Date of Call]])&lt;=3,YEAR(Calls[[#This Row],[Date of Call]]),YEAR(Calls[[#This Row],[Date of Call]])+1)</f>
        <v>2026</v>
      </c>
      <c r="K649" t="str">
        <f>TEXT(Calls[[#This Row],[Date of Call]],"dddd")</f>
        <v>Saturday</v>
      </c>
      <c r="L649" t="str">
        <f>TEXT(Calls[[#This Row],[Date of Call]],"mmm")</f>
        <v>May</v>
      </c>
    </row>
    <row r="650" spans="1:12" x14ac:dyDescent="0.3">
      <c r="A650" t="s">
        <v>654</v>
      </c>
      <c r="B650" t="s">
        <v>1008</v>
      </c>
      <c r="C650">
        <v>83</v>
      </c>
      <c r="D650" t="s">
        <v>1028</v>
      </c>
      <c r="E650" t="s">
        <v>1162</v>
      </c>
      <c r="F650">
        <v>100</v>
      </c>
      <c r="G650">
        <v>4.8</v>
      </c>
      <c r="H650">
        <f>ROUND(Calls[[#This Row],[Satisfactory Rating]],0)</f>
        <v>5</v>
      </c>
      <c r="I650" t="str" cm="1">
        <f t="array" ref="I650">_xlfn.IFS(Calls[[#This Row],[Duration (Min)]]&lt;=30,"Under 30 mins",Calls[[#This Row],[Duration (Min)]]&lt;=60,"Under 1h",Calls[[#This Row],[Duration (Min)]]&lt;=120,"Under 2",TRUE,"More than 2h")</f>
        <v>Under 2</v>
      </c>
      <c r="J650">
        <f>IF(MONTH(Calls[[#This Row],[Date of Call]])&lt;=3,YEAR(Calls[[#This Row],[Date of Call]]),YEAR(Calls[[#This Row],[Date of Call]])+1)</f>
        <v>2026</v>
      </c>
      <c r="K650" t="str">
        <f>TEXT(Calls[[#This Row],[Date of Call]],"dddd")</f>
        <v>Saturday</v>
      </c>
      <c r="L650" t="str">
        <f>TEXT(Calls[[#This Row],[Date of Call]],"mmm")</f>
        <v>May</v>
      </c>
    </row>
    <row r="651" spans="1:12" x14ac:dyDescent="0.3">
      <c r="A651" t="s">
        <v>655</v>
      </c>
      <c r="B651" t="s">
        <v>1008</v>
      </c>
      <c r="C651">
        <v>140</v>
      </c>
      <c r="D651" t="s">
        <v>1028</v>
      </c>
      <c r="E651" t="s">
        <v>1162</v>
      </c>
      <c r="F651">
        <v>102</v>
      </c>
      <c r="G651">
        <v>1.1000000000000001</v>
      </c>
      <c r="H651">
        <f>ROUND(Calls[[#This Row],[Satisfactory Rating]],0)</f>
        <v>1</v>
      </c>
      <c r="I651" t="str" cm="1">
        <f t="array" ref="I651">_xlfn.IFS(Calls[[#This Row],[Duration (Min)]]&lt;=30,"Under 30 mins",Calls[[#This Row],[Duration (Min)]]&lt;=60,"Under 1h",Calls[[#This Row],[Duration (Min)]]&lt;=120,"Under 2",TRUE,"More than 2h")</f>
        <v>More than 2h</v>
      </c>
      <c r="J651">
        <f>IF(MONTH(Calls[[#This Row],[Date of Call]])&lt;=3,YEAR(Calls[[#This Row],[Date of Call]]),YEAR(Calls[[#This Row],[Date of Call]])+1)</f>
        <v>2026</v>
      </c>
      <c r="K651" t="str">
        <f>TEXT(Calls[[#This Row],[Date of Call]],"dddd")</f>
        <v>Saturday</v>
      </c>
      <c r="L651" t="str">
        <f>TEXT(Calls[[#This Row],[Date of Call]],"mmm")</f>
        <v>May</v>
      </c>
    </row>
    <row r="652" spans="1:12" x14ac:dyDescent="0.3">
      <c r="A652" t="s">
        <v>656</v>
      </c>
      <c r="B652" t="s">
        <v>1013</v>
      </c>
      <c r="C652">
        <v>149</v>
      </c>
      <c r="D652" t="s">
        <v>1030</v>
      </c>
      <c r="E652" t="s">
        <v>1163</v>
      </c>
      <c r="F652">
        <v>150</v>
      </c>
      <c r="G652">
        <v>2.5</v>
      </c>
      <c r="H652">
        <f>ROUND(Calls[[#This Row],[Satisfactory Rating]],0)</f>
        <v>3</v>
      </c>
      <c r="I652" t="str" cm="1">
        <f t="array" ref="I652">_xlfn.IFS(Calls[[#This Row],[Duration (Min)]]&lt;=30,"Under 30 mins",Calls[[#This Row],[Duration (Min)]]&lt;=60,"Under 1h",Calls[[#This Row],[Duration (Min)]]&lt;=120,"Under 2",TRUE,"More than 2h")</f>
        <v>More than 2h</v>
      </c>
      <c r="J652">
        <f>IF(MONTH(Calls[[#This Row],[Date of Call]])&lt;=3,YEAR(Calls[[#This Row],[Date of Call]]),YEAR(Calls[[#This Row],[Date of Call]])+1)</f>
        <v>2026</v>
      </c>
      <c r="K652" t="str">
        <f>TEXT(Calls[[#This Row],[Date of Call]],"dddd")</f>
        <v>Sunday</v>
      </c>
      <c r="L652" t="str">
        <f>TEXT(Calls[[#This Row],[Date of Call]],"mmm")</f>
        <v>May</v>
      </c>
    </row>
    <row r="653" spans="1:12" x14ac:dyDescent="0.3">
      <c r="A653" t="s">
        <v>657</v>
      </c>
      <c r="B653" t="s">
        <v>1013</v>
      </c>
      <c r="C653">
        <v>149</v>
      </c>
      <c r="D653" t="s">
        <v>1027</v>
      </c>
      <c r="E653" t="s">
        <v>1163</v>
      </c>
      <c r="F653">
        <v>29</v>
      </c>
      <c r="G653">
        <v>3.4</v>
      </c>
      <c r="H653">
        <f>ROUND(Calls[[#This Row],[Satisfactory Rating]],0)</f>
        <v>3</v>
      </c>
      <c r="I653" t="str" cm="1">
        <f t="array" ref="I653">_xlfn.IFS(Calls[[#This Row],[Duration (Min)]]&lt;=30,"Under 30 mins",Calls[[#This Row],[Duration (Min)]]&lt;=60,"Under 1h",Calls[[#This Row],[Duration (Min)]]&lt;=120,"Under 2",TRUE,"More than 2h")</f>
        <v>More than 2h</v>
      </c>
      <c r="J653">
        <f>IF(MONTH(Calls[[#This Row],[Date of Call]])&lt;=3,YEAR(Calls[[#This Row],[Date of Call]]),YEAR(Calls[[#This Row],[Date of Call]])+1)</f>
        <v>2026</v>
      </c>
      <c r="K653" t="str">
        <f>TEXT(Calls[[#This Row],[Date of Call]],"dddd")</f>
        <v>Sunday</v>
      </c>
      <c r="L653" t="str">
        <f>TEXT(Calls[[#This Row],[Date of Call]],"mmm")</f>
        <v>May</v>
      </c>
    </row>
    <row r="654" spans="1:12" x14ac:dyDescent="0.3">
      <c r="A654" t="s">
        <v>658</v>
      </c>
      <c r="B654" t="s">
        <v>1018</v>
      </c>
      <c r="C654">
        <v>27</v>
      </c>
      <c r="D654" t="s">
        <v>1028</v>
      </c>
      <c r="E654" t="s">
        <v>1163</v>
      </c>
      <c r="F654">
        <v>66</v>
      </c>
      <c r="G654">
        <v>3.3</v>
      </c>
      <c r="H654">
        <f>ROUND(Calls[[#This Row],[Satisfactory Rating]],0)</f>
        <v>3</v>
      </c>
      <c r="I654" t="str" cm="1">
        <f t="array" ref="I654">_xlfn.IFS(Calls[[#This Row],[Duration (Min)]]&lt;=30,"Under 30 mins",Calls[[#This Row],[Duration (Min)]]&lt;=60,"Under 1h",Calls[[#This Row],[Duration (Min)]]&lt;=120,"Under 2",TRUE,"More than 2h")</f>
        <v>Under 30 mins</v>
      </c>
      <c r="J654">
        <f>IF(MONTH(Calls[[#This Row],[Date of Call]])&lt;=3,YEAR(Calls[[#This Row],[Date of Call]]),YEAR(Calls[[#This Row],[Date of Call]])+1)</f>
        <v>2026</v>
      </c>
      <c r="K654" t="str">
        <f>TEXT(Calls[[#This Row],[Date of Call]],"dddd")</f>
        <v>Sunday</v>
      </c>
      <c r="L654" t="str">
        <f>TEXT(Calls[[#This Row],[Date of Call]],"mmm")</f>
        <v>May</v>
      </c>
    </row>
    <row r="655" spans="1:12" x14ac:dyDescent="0.3">
      <c r="A655" t="s">
        <v>659</v>
      </c>
      <c r="B655" t="s">
        <v>1010</v>
      </c>
      <c r="C655">
        <v>36</v>
      </c>
      <c r="D655" t="s">
        <v>1029</v>
      </c>
      <c r="E655" t="s">
        <v>1163</v>
      </c>
      <c r="F655">
        <v>85</v>
      </c>
      <c r="G655">
        <v>3</v>
      </c>
      <c r="H655">
        <f>ROUND(Calls[[#This Row],[Satisfactory Rating]],0)</f>
        <v>3</v>
      </c>
      <c r="I655" t="str" cm="1">
        <f t="array" ref="I655">_xlfn.IFS(Calls[[#This Row],[Duration (Min)]]&lt;=30,"Under 30 mins",Calls[[#This Row],[Duration (Min)]]&lt;=60,"Under 1h",Calls[[#This Row],[Duration (Min)]]&lt;=120,"Under 2",TRUE,"More than 2h")</f>
        <v>Under 1h</v>
      </c>
      <c r="J655">
        <f>IF(MONTH(Calls[[#This Row],[Date of Call]])&lt;=3,YEAR(Calls[[#This Row],[Date of Call]]),YEAR(Calls[[#This Row],[Date of Call]])+1)</f>
        <v>2026</v>
      </c>
      <c r="K655" t="str">
        <f>TEXT(Calls[[#This Row],[Date of Call]],"dddd")</f>
        <v>Sunday</v>
      </c>
      <c r="L655" t="str">
        <f>TEXT(Calls[[#This Row],[Date of Call]],"mmm")</f>
        <v>May</v>
      </c>
    </row>
    <row r="656" spans="1:12" x14ac:dyDescent="0.3">
      <c r="A656" t="s">
        <v>660</v>
      </c>
      <c r="B656" t="s">
        <v>1021</v>
      </c>
      <c r="C656">
        <v>16</v>
      </c>
      <c r="D656" t="s">
        <v>1031</v>
      </c>
      <c r="E656" t="s">
        <v>1163</v>
      </c>
      <c r="F656">
        <v>65</v>
      </c>
      <c r="G656">
        <v>3.8</v>
      </c>
      <c r="H656">
        <f>ROUND(Calls[[#This Row],[Satisfactory Rating]],0)</f>
        <v>4</v>
      </c>
      <c r="I656" t="str" cm="1">
        <f t="array" ref="I656">_xlfn.IFS(Calls[[#This Row],[Duration (Min)]]&lt;=30,"Under 30 mins",Calls[[#This Row],[Duration (Min)]]&lt;=60,"Under 1h",Calls[[#This Row],[Duration (Min)]]&lt;=120,"Under 2",TRUE,"More than 2h")</f>
        <v>Under 30 mins</v>
      </c>
      <c r="J656">
        <f>IF(MONTH(Calls[[#This Row],[Date of Call]])&lt;=3,YEAR(Calls[[#This Row],[Date of Call]]),YEAR(Calls[[#This Row],[Date of Call]])+1)</f>
        <v>2026</v>
      </c>
      <c r="K656" t="str">
        <f>TEXT(Calls[[#This Row],[Date of Call]],"dddd")</f>
        <v>Sunday</v>
      </c>
      <c r="L656" t="str">
        <f>TEXT(Calls[[#This Row],[Date of Call]],"mmm")</f>
        <v>May</v>
      </c>
    </row>
    <row r="657" spans="1:12" x14ac:dyDescent="0.3">
      <c r="A657" t="s">
        <v>661</v>
      </c>
      <c r="B657" t="s">
        <v>1014</v>
      </c>
      <c r="C657">
        <v>118</v>
      </c>
      <c r="D657" t="s">
        <v>1029</v>
      </c>
      <c r="E657" t="s">
        <v>1164</v>
      </c>
      <c r="F657">
        <v>46</v>
      </c>
      <c r="G657">
        <v>3.4</v>
      </c>
      <c r="H657">
        <f>ROUND(Calls[[#This Row],[Satisfactory Rating]],0)</f>
        <v>3</v>
      </c>
      <c r="I657" t="str" cm="1">
        <f t="array" ref="I657">_xlfn.IFS(Calls[[#This Row],[Duration (Min)]]&lt;=30,"Under 30 mins",Calls[[#This Row],[Duration (Min)]]&lt;=60,"Under 1h",Calls[[#This Row],[Duration (Min)]]&lt;=120,"Under 2",TRUE,"More than 2h")</f>
        <v>Under 2</v>
      </c>
      <c r="J657">
        <f>IF(MONTH(Calls[[#This Row],[Date of Call]])&lt;=3,YEAR(Calls[[#This Row],[Date of Call]]),YEAR(Calls[[#This Row],[Date of Call]])+1)</f>
        <v>2026</v>
      </c>
      <c r="K657" t="str">
        <f>TEXT(Calls[[#This Row],[Date of Call]],"dddd")</f>
        <v>Monday</v>
      </c>
      <c r="L657" t="str">
        <f>TEXT(Calls[[#This Row],[Date of Call]],"mmm")</f>
        <v>May</v>
      </c>
    </row>
    <row r="658" spans="1:12" x14ac:dyDescent="0.3">
      <c r="A658" t="s">
        <v>662</v>
      </c>
      <c r="B658" t="s">
        <v>1025</v>
      </c>
      <c r="C658">
        <v>33</v>
      </c>
      <c r="D658" t="s">
        <v>1028</v>
      </c>
      <c r="E658" t="s">
        <v>1164</v>
      </c>
      <c r="F658">
        <v>105</v>
      </c>
      <c r="G658">
        <v>4.7</v>
      </c>
      <c r="H658">
        <f>ROUND(Calls[[#This Row],[Satisfactory Rating]],0)</f>
        <v>5</v>
      </c>
      <c r="I658" t="str" cm="1">
        <f t="array" ref="I658">_xlfn.IFS(Calls[[#This Row],[Duration (Min)]]&lt;=30,"Under 30 mins",Calls[[#This Row],[Duration (Min)]]&lt;=60,"Under 1h",Calls[[#This Row],[Duration (Min)]]&lt;=120,"Under 2",TRUE,"More than 2h")</f>
        <v>Under 1h</v>
      </c>
      <c r="J658">
        <f>IF(MONTH(Calls[[#This Row],[Date of Call]])&lt;=3,YEAR(Calls[[#This Row],[Date of Call]]),YEAR(Calls[[#This Row],[Date of Call]])+1)</f>
        <v>2026</v>
      </c>
      <c r="K658" t="str">
        <f>TEXT(Calls[[#This Row],[Date of Call]],"dddd")</f>
        <v>Monday</v>
      </c>
      <c r="L658" t="str">
        <f>TEXT(Calls[[#This Row],[Date of Call]],"mmm")</f>
        <v>May</v>
      </c>
    </row>
    <row r="659" spans="1:12" x14ac:dyDescent="0.3">
      <c r="A659" t="s">
        <v>663</v>
      </c>
      <c r="B659" t="s">
        <v>1012</v>
      </c>
      <c r="C659">
        <v>85</v>
      </c>
      <c r="D659" t="s">
        <v>1026</v>
      </c>
      <c r="E659" t="s">
        <v>1164</v>
      </c>
      <c r="F659">
        <v>103</v>
      </c>
      <c r="G659">
        <v>3.3</v>
      </c>
      <c r="H659">
        <f>ROUND(Calls[[#This Row],[Satisfactory Rating]],0)</f>
        <v>3</v>
      </c>
      <c r="I659" t="str" cm="1">
        <f t="array" ref="I659">_xlfn.IFS(Calls[[#This Row],[Duration (Min)]]&lt;=30,"Under 30 mins",Calls[[#This Row],[Duration (Min)]]&lt;=60,"Under 1h",Calls[[#This Row],[Duration (Min)]]&lt;=120,"Under 2",TRUE,"More than 2h")</f>
        <v>Under 2</v>
      </c>
      <c r="J659">
        <f>IF(MONTH(Calls[[#This Row],[Date of Call]])&lt;=3,YEAR(Calls[[#This Row],[Date of Call]]),YEAR(Calls[[#This Row],[Date of Call]])+1)</f>
        <v>2026</v>
      </c>
      <c r="K659" t="str">
        <f>TEXT(Calls[[#This Row],[Date of Call]],"dddd")</f>
        <v>Monday</v>
      </c>
      <c r="L659" t="str">
        <f>TEXT(Calls[[#This Row],[Date of Call]],"mmm")</f>
        <v>May</v>
      </c>
    </row>
    <row r="660" spans="1:12" x14ac:dyDescent="0.3">
      <c r="A660" t="s">
        <v>664</v>
      </c>
      <c r="B660" t="s">
        <v>1006</v>
      </c>
      <c r="C660">
        <v>15</v>
      </c>
      <c r="D660" t="s">
        <v>1030</v>
      </c>
      <c r="E660" t="s">
        <v>1164</v>
      </c>
      <c r="F660">
        <v>65</v>
      </c>
      <c r="G660">
        <v>1.7</v>
      </c>
      <c r="H660">
        <f>ROUND(Calls[[#This Row],[Satisfactory Rating]],0)</f>
        <v>2</v>
      </c>
      <c r="I660" t="str" cm="1">
        <f t="array" ref="I660">_xlfn.IFS(Calls[[#This Row],[Duration (Min)]]&lt;=30,"Under 30 mins",Calls[[#This Row],[Duration (Min)]]&lt;=60,"Under 1h",Calls[[#This Row],[Duration (Min)]]&lt;=120,"Under 2",TRUE,"More than 2h")</f>
        <v>Under 30 mins</v>
      </c>
      <c r="J660">
        <f>IF(MONTH(Calls[[#This Row],[Date of Call]])&lt;=3,YEAR(Calls[[#This Row],[Date of Call]]),YEAR(Calls[[#This Row],[Date of Call]])+1)</f>
        <v>2026</v>
      </c>
      <c r="K660" t="str">
        <f>TEXT(Calls[[#This Row],[Date of Call]],"dddd")</f>
        <v>Monday</v>
      </c>
      <c r="L660" t="str">
        <f>TEXT(Calls[[#This Row],[Date of Call]],"mmm")</f>
        <v>May</v>
      </c>
    </row>
    <row r="661" spans="1:12" x14ac:dyDescent="0.3">
      <c r="A661" t="s">
        <v>665</v>
      </c>
      <c r="B661" t="s">
        <v>1020</v>
      </c>
      <c r="C661">
        <v>140</v>
      </c>
      <c r="D661" t="s">
        <v>1027</v>
      </c>
      <c r="E661" t="s">
        <v>1164</v>
      </c>
      <c r="F661">
        <v>54</v>
      </c>
      <c r="G661">
        <v>4.7</v>
      </c>
      <c r="H661">
        <f>ROUND(Calls[[#This Row],[Satisfactory Rating]],0)</f>
        <v>5</v>
      </c>
      <c r="I661" t="str" cm="1">
        <f t="array" ref="I661">_xlfn.IFS(Calls[[#This Row],[Duration (Min)]]&lt;=30,"Under 30 mins",Calls[[#This Row],[Duration (Min)]]&lt;=60,"Under 1h",Calls[[#This Row],[Duration (Min)]]&lt;=120,"Under 2",TRUE,"More than 2h")</f>
        <v>More than 2h</v>
      </c>
      <c r="J661">
        <f>IF(MONTH(Calls[[#This Row],[Date of Call]])&lt;=3,YEAR(Calls[[#This Row],[Date of Call]]),YEAR(Calls[[#This Row],[Date of Call]])+1)</f>
        <v>2026</v>
      </c>
      <c r="K661" t="str">
        <f>TEXT(Calls[[#This Row],[Date of Call]],"dddd")</f>
        <v>Monday</v>
      </c>
      <c r="L661" t="str">
        <f>TEXT(Calls[[#This Row],[Date of Call]],"mmm")</f>
        <v>May</v>
      </c>
    </row>
    <row r="662" spans="1:12" x14ac:dyDescent="0.3">
      <c r="A662" t="s">
        <v>666</v>
      </c>
      <c r="B662" t="s">
        <v>1023</v>
      </c>
      <c r="C662">
        <v>104</v>
      </c>
      <c r="D662" t="s">
        <v>1026</v>
      </c>
      <c r="E662" t="s">
        <v>1165</v>
      </c>
      <c r="F662">
        <v>125</v>
      </c>
      <c r="G662">
        <v>4.4000000000000004</v>
      </c>
      <c r="H662">
        <f>ROUND(Calls[[#This Row],[Satisfactory Rating]],0)</f>
        <v>4</v>
      </c>
      <c r="I662" t="str" cm="1">
        <f t="array" ref="I662">_xlfn.IFS(Calls[[#This Row],[Duration (Min)]]&lt;=30,"Under 30 mins",Calls[[#This Row],[Duration (Min)]]&lt;=60,"Under 1h",Calls[[#This Row],[Duration (Min)]]&lt;=120,"Under 2",TRUE,"More than 2h")</f>
        <v>Under 2</v>
      </c>
      <c r="J662">
        <f>IF(MONTH(Calls[[#This Row],[Date of Call]])&lt;=3,YEAR(Calls[[#This Row],[Date of Call]]),YEAR(Calls[[#This Row],[Date of Call]])+1)</f>
        <v>2026</v>
      </c>
      <c r="K662" t="str">
        <f>TEXT(Calls[[#This Row],[Date of Call]],"dddd")</f>
        <v>Tuesday</v>
      </c>
      <c r="L662" t="str">
        <f>TEXT(Calls[[#This Row],[Date of Call]],"mmm")</f>
        <v>May</v>
      </c>
    </row>
    <row r="663" spans="1:12" x14ac:dyDescent="0.3">
      <c r="A663" t="s">
        <v>667</v>
      </c>
      <c r="B663" t="s">
        <v>1019</v>
      </c>
      <c r="C663">
        <v>121</v>
      </c>
      <c r="D663" t="s">
        <v>1029</v>
      </c>
      <c r="E663" t="s">
        <v>1165</v>
      </c>
      <c r="F663">
        <v>25</v>
      </c>
      <c r="G663">
        <v>4</v>
      </c>
      <c r="H663">
        <f>ROUND(Calls[[#This Row],[Satisfactory Rating]],0)</f>
        <v>4</v>
      </c>
      <c r="I663" t="str" cm="1">
        <f t="array" ref="I663">_xlfn.IFS(Calls[[#This Row],[Duration (Min)]]&lt;=30,"Under 30 mins",Calls[[#This Row],[Duration (Min)]]&lt;=60,"Under 1h",Calls[[#This Row],[Duration (Min)]]&lt;=120,"Under 2",TRUE,"More than 2h")</f>
        <v>More than 2h</v>
      </c>
      <c r="J663">
        <f>IF(MONTH(Calls[[#This Row],[Date of Call]])&lt;=3,YEAR(Calls[[#This Row],[Date of Call]]),YEAR(Calls[[#This Row],[Date of Call]])+1)</f>
        <v>2026</v>
      </c>
      <c r="K663" t="str">
        <f>TEXT(Calls[[#This Row],[Date of Call]],"dddd")</f>
        <v>Tuesday</v>
      </c>
      <c r="L663" t="str">
        <f>TEXT(Calls[[#This Row],[Date of Call]],"mmm")</f>
        <v>May</v>
      </c>
    </row>
    <row r="664" spans="1:12" x14ac:dyDescent="0.3">
      <c r="A664" t="s">
        <v>668</v>
      </c>
      <c r="B664" t="s">
        <v>1008</v>
      </c>
      <c r="C664">
        <v>25</v>
      </c>
      <c r="D664" t="s">
        <v>1031</v>
      </c>
      <c r="E664" t="s">
        <v>1165</v>
      </c>
      <c r="F664">
        <v>70</v>
      </c>
      <c r="G664">
        <v>2.6</v>
      </c>
      <c r="H664">
        <f>ROUND(Calls[[#This Row],[Satisfactory Rating]],0)</f>
        <v>3</v>
      </c>
      <c r="I664" t="str" cm="1">
        <f t="array" ref="I664">_xlfn.IFS(Calls[[#This Row],[Duration (Min)]]&lt;=30,"Under 30 mins",Calls[[#This Row],[Duration (Min)]]&lt;=60,"Under 1h",Calls[[#This Row],[Duration (Min)]]&lt;=120,"Under 2",TRUE,"More than 2h")</f>
        <v>Under 30 mins</v>
      </c>
      <c r="J664">
        <f>IF(MONTH(Calls[[#This Row],[Date of Call]])&lt;=3,YEAR(Calls[[#This Row],[Date of Call]]),YEAR(Calls[[#This Row],[Date of Call]])+1)</f>
        <v>2026</v>
      </c>
      <c r="K664" t="str">
        <f>TEXT(Calls[[#This Row],[Date of Call]],"dddd")</f>
        <v>Tuesday</v>
      </c>
      <c r="L664" t="str">
        <f>TEXT(Calls[[#This Row],[Date of Call]],"mmm")</f>
        <v>May</v>
      </c>
    </row>
    <row r="665" spans="1:12" x14ac:dyDescent="0.3">
      <c r="A665" t="s">
        <v>669</v>
      </c>
      <c r="B665" t="s">
        <v>1008</v>
      </c>
      <c r="C665">
        <v>67</v>
      </c>
      <c r="D665" t="s">
        <v>1031</v>
      </c>
      <c r="E665" t="s">
        <v>1165</v>
      </c>
      <c r="F665">
        <v>139</v>
      </c>
      <c r="G665">
        <v>4.2</v>
      </c>
      <c r="H665">
        <f>ROUND(Calls[[#This Row],[Satisfactory Rating]],0)</f>
        <v>4</v>
      </c>
      <c r="I665" t="str" cm="1">
        <f t="array" ref="I665">_xlfn.IFS(Calls[[#This Row],[Duration (Min)]]&lt;=30,"Under 30 mins",Calls[[#This Row],[Duration (Min)]]&lt;=60,"Under 1h",Calls[[#This Row],[Duration (Min)]]&lt;=120,"Under 2",TRUE,"More than 2h")</f>
        <v>Under 2</v>
      </c>
      <c r="J665">
        <f>IF(MONTH(Calls[[#This Row],[Date of Call]])&lt;=3,YEAR(Calls[[#This Row],[Date of Call]]),YEAR(Calls[[#This Row],[Date of Call]])+1)</f>
        <v>2026</v>
      </c>
      <c r="K665" t="str">
        <f>TEXT(Calls[[#This Row],[Date of Call]],"dddd")</f>
        <v>Tuesday</v>
      </c>
      <c r="L665" t="str">
        <f>TEXT(Calls[[#This Row],[Date of Call]],"mmm")</f>
        <v>May</v>
      </c>
    </row>
    <row r="666" spans="1:12" x14ac:dyDescent="0.3">
      <c r="A666" t="s">
        <v>670</v>
      </c>
      <c r="B666" t="s">
        <v>1010</v>
      </c>
      <c r="C666">
        <v>133</v>
      </c>
      <c r="D666" t="s">
        <v>1030</v>
      </c>
      <c r="E666" t="s">
        <v>1165</v>
      </c>
      <c r="F666">
        <v>111</v>
      </c>
      <c r="G666">
        <v>4.2</v>
      </c>
      <c r="H666">
        <f>ROUND(Calls[[#This Row],[Satisfactory Rating]],0)</f>
        <v>4</v>
      </c>
      <c r="I666" t="str" cm="1">
        <f t="array" ref="I666">_xlfn.IFS(Calls[[#This Row],[Duration (Min)]]&lt;=30,"Under 30 mins",Calls[[#This Row],[Duration (Min)]]&lt;=60,"Under 1h",Calls[[#This Row],[Duration (Min)]]&lt;=120,"Under 2",TRUE,"More than 2h")</f>
        <v>More than 2h</v>
      </c>
      <c r="J666">
        <f>IF(MONTH(Calls[[#This Row],[Date of Call]])&lt;=3,YEAR(Calls[[#This Row],[Date of Call]]),YEAR(Calls[[#This Row],[Date of Call]])+1)</f>
        <v>2026</v>
      </c>
      <c r="K666" t="str">
        <f>TEXT(Calls[[#This Row],[Date of Call]],"dddd")</f>
        <v>Tuesday</v>
      </c>
      <c r="L666" t="str">
        <f>TEXT(Calls[[#This Row],[Date of Call]],"mmm")</f>
        <v>May</v>
      </c>
    </row>
    <row r="667" spans="1:12" x14ac:dyDescent="0.3">
      <c r="A667" t="s">
        <v>671</v>
      </c>
      <c r="B667" t="s">
        <v>1022</v>
      </c>
      <c r="C667">
        <v>24</v>
      </c>
      <c r="D667" t="s">
        <v>1031</v>
      </c>
      <c r="E667" t="s">
        <v>1166</v>
      </c>
      <c r="F667">
        <v>68</v>
      </c>
      <c r="G667">
        <v>3.6</v>
      </c>
      <c r="H667">
        <f>ROUND(Calls[[#This Row],[Satisfactory Rating]],0)</f>
        <v>4</v>
      </c>
      <c r="I667" t="str" cm="1">
        <f t="array" ref="I667">_xlfn.IFS(Calls[[#This Row],[Duration (Min)]]&lt;=30,"Under 30 mins",Calls[[#This Row],[Duration (Min)]]&lt;=60,"Under 1h",Calls[[#This Row],[Duration (Min)]]&lt;=120,"Under 2",TRUE,"More than 2h")</f>
        <v>Under 30 mins</v>
      </c>
      <c r="J667">
        <f>IF(MONTH(Calls[[#This Row],[Date of Call]])&lt;=3,YEAR(Calls[[#This Row],[Date of Call]]),YEAR(Calls[[#This Row],[Date of Call]])+1)</f>
        <v>2026</v>
      </c>
      <c r="K667" t="str">
        <f>TEXT(Calls[[#This Row],[Date of Call]],"dddd")</f>
        <v>Wednesday</v>
      </c>
      <c r="L667" t="str">
        <f>TEXT(Calls[[#This Row],[Date of Call]],"mmm")</f>
        <v>May</v>
      </c>
    </row>
    <row r="668" spans="1:12" x14ac:dyDescent="0.3">
      <c r="A668" t="s">
        <v>672</v>
      </c>
      <c r="B668" t="s">
        <v>1020</v>
      </c>
      <c r="C668">
        <v>147</v>
      </c>
      <c r="D668" t="s">
        <v>1030</v>
      </c>
      <c r="E668" t="s">
        <v>1166</v>
      </c>
      <c r="F668">
        <v>94</v>
      </c>
      <c r="G668">
        <v>1.1000000000000001</v>
      </c>
      <c r="H668">
        <f>ROUND(Calls[[#This Row],[Satisfactory Rating]],0)</f>
        <v>1</v>
      </c>
      <c r="I668" t="str" cm="1">
        <f t="array" ref="I668">_xlfn.IFS(Calls[[#This Row],[Duration (Min)]]&lt;=30,"Under 30 mins",Calls[[#This Row],[Duration (Min)]]&lt;=60,"Under 1h",Calls[[#This Row],[Duration (Min)]]&lt;=120,"Under 2",TRUE,"More than 2h")</f>
        <v>More than 2h</v>
      </c>
      <c r="J668">
        <f>IF(MONTH(Calls[[#This Row],[Date of Call]])&lt;=3,YEAR(Calls[[#This Row],[Date of Call]]),YEAR(Calls[[#This Row],[Date of Call]])+1)</f>
        <v>2026</v>
      </c>
      <c r="K668" t="str">
        <f>TEXT(Calls[[#This Row],[Date of Call]],"dddd")</f>
        <v>Wednesday</v>
      </c>
      <c r="L668" t="str">
        <f>TEXT(Calls[[#This Row],[Date of Call]],"mmm")</f>
        <v>May</v>
      </c>
    </row>
    <row r="669" spans="1:12" x14ac:dyDescent="0.3">
      <c r="A669" t="s">
        <v>673</v>
      </c>
      <c r="B669" t="s">
        <v>1013</v>
      </c>
      <c r="C669">
        <v>139</v>
      </c>
      <c r="D669" t="s">
        <v>1030</v>
      </c>
      <c r="E669" t="s">
        <v>1166</v>
      </c>
      <c r="F669">
        <v>22</v>
      </c>
      <c r="G669">
        <v>1.9</v>
      </c>
      <c r="H669">
        <f>ROUND(Calls[[#This Row],[Satisfactory Rating]],0)</f>
        <v>2</v>
      </c>
      <c r="I669" t="str" cm="1">
        <f t="array" ref="I669">_xlfn.IFS(Calls[[#This Row],[Duration (Min)]]&lt;=30,"Under 30 mins",Calls[[#This Row],[Duration (Min)]]&lt;=60,"Under 1h",Calls[[#This Row],[Duration (Min)]]&lt;=120,"Under 2",TRUE,"More than 2h")</f>
        <v>More than 2h</v>
      </c>
      <c r="J669">
        <f>IF(MONTH(Calls[[#This Row],[Date of Call]])&lt;=3,YEAR(Calls[[#This Row],[Date of Call]]),YEAR(Calls[[#This Row],[Date of Call]])+1)</f>
        <v>2026</v>
      </c>
      <c r="K669" t="str">
        <f>TEXT(Calls[[#This Row],[Date of Call]],"dddd")</f>
        <v>Wednesday</v>
      </c>
      <c r="L669" t="str">
        <f>TEXT(Calls[[#This Row],[Date of Call]],"mmm")</f>
        <v>May</v>
      </c>
    </row>
    <row r="670" spans="1:12" x14ac:dyDescent="0.3">
      <c r="A670" t="s">
        <v>674</v>
      </c>
      <c r="B670" t="s">
        <v>1022</v>
      </c>
      <c r="C670">
        <v>20</v>
      </c>
      <c r="D670" t="s">
        <v>1032</v>
      </c>
      <c r="E670" t="s">
        <v>1166</v>
      </c>
      <c r="F670">
        <v>25</v>
      </c>
      <c r="G670">
        <v>1.9</v>
      </c>
      <c r="H670">
        <f>ROUND(Calls[[#This Row],[Satisfactory Rating]],0)</f>
        <v>2</v>
      </c>
      <c r="I670" t="str" cm="1">
        <f t="array" ref="I670">_xlfn.IFS(Calls[[#This Row],[Duration (Min)]]&lt;=30,"Under 30 mins",Calls[[#This Row],[Duration (Min)]]&lt;=60,"Under 1h",Calls[[#This Row],[Duration (Min)]]&lt;=120,"Under 2",TRUE,"More than 2h")</f>
        <v>Under 30 mins</v>
      </c>
      <c r="J670">
        <f>IF(MONTH(Calls[[#This Row],[Date of Call]])&lt;=3,YEAR(Calls[[#This Row],[Date of Call]]),YEAR(Calls[[#This Row],[Date of Call]])+1)</f>
        <v>2026</v>
      </c>
      <c r="K670" t="str">
        <f>TEXT(Calls[[#This Row],[Date of Call]],"dddd")</f>
        <v>Wednesday</v>
      </c>
      <c r="L670" t="str">
        <f>TEXT(Calls[[#This Row],[Date of Call]],"mmm")</f>
        <v>May</v>
      </c>
    </row>
    <row r="671" spans="1:12" x14ac:dyDescent="0.3">
      <c r="A671" t="s">
        <v>675</v>
      </c>
      <c r="B671" t="s">
        <v>1025</v>
      </c>
      <c r="C671">
        <v>55</v>
      </c>
      <c r="D671" t="s">
        <v>1032</v>
      </c>
      <c r="E671" t="s">
        <v>1166</v>
      </c>
      <c r="F671">
        <v>131</v>
      </c>
      <c r="G671">
        <v>4.8</v>
      </c>
      <c r="H671">
        <f>ROUND(Calls[[#This Row],[Satisfactory Rating]],0)</f>
        <v>5</v>
      </c>
      <c r="I671" t="str" cm="1">
        <f t="array" ref="I671">_xlfn.IFS(Calls[[#This Row],[Duration (Min)]]&lt;=30,"Under 30 mins",Calls[[#This Row],[Duration (Min)]]&lt;=60,"Under 1h",Calls[[#This Row],[Duration (Min)]]&lt;=120,"Under 2",TRUE,"More than 2h")</f>
        <v>Under 1h</v>
      </c>
      <c r="J671">
        <f>IF(MONTH(Calls[[#This Row],[Date of Call]])&lt;=3,YEAR(Calls[[#This Row],[Date of Call]]),YEAR(Calls[[#This Row],[Date of Call]])+1)</f>
        <v>2026</v>
      </c>
      <c r="K671" t="str">
        <f>TEXT(Calls[[#This Row],[Date of Call]],"dddd")</f>
        <v>Wednesday</v>
      </c>
      <c r="L671" t="str">
        <f>TEXT(Calls[[#This Row],[Date of Call]],"mmm")</f>
        <v>May</v>
      </c>
    </row>
    <row r="672" spans="1:12" x14ac:dyDescent="0.3">
      <c r="A672" t="s">
        <v>676</v>
      </c>
      <c r="B672" t="s">
        <v>1016</v>
      </c>
      <c r="C672">
        <v>128</v>
      </c>
      <c r="D672" t="s">
        <v>1030</v>
      </c>
      <c r="E672" t="s">
        <v>1167</v>
      </c>
      <c r="F672">
        <v>119</v>
      </c>
      <c r="G672">
        <v>4.9000000000000004</v>
      </c>
      <c r="H672">
        <f>ROUND(Calls[[#This Row],[Satisfactory Rating]],0)</f>
        <v>5</v>
      </c>
      <c r="I672" t="str" cm="1">
        <f t="array" ref="I672">_xlfn.IFS(Calls[[#This Row],[Duration (Min)]]&lt;=30,"Under 30 mins",Calls[[#This Row],[Duration (Min)]]&lt;=60,"Under 1h",Calls[[#This Row],[Duration (Min)]]&lt;=120,"Under 2",TRUE,"More than 2h")</f>
        <v>More than 2h</v>
      </c>
      <c r="J672">
        <f>IF(MONTH(Calls[[#This Row],[Date of Call]])&lt;=3,YEAR(Calls[[#This Row],[Date of Call]]),YEAR(Calls[[#This Row],[Date of Call]])+1)</f>
        <v>2026</v>
      </c>
      <c r="K672" t="str">
        <f>TEXT(Calls[[#This Row],[Date of Call]],"dddd")</f>
        <v>Thursday</v>
      </c>
      <c r="L672" t="str">
        <f>TEXT(Calls[[#This Row],[Date of Call]],"mmm")</f>
        <v>May</v>
      </c>
    </row>
    <row r="673" spans="1:12" x14ac:dyDescent="0.3">
      <c r="A673" t="s">
        <v>677</v>
      </c>
      <c r="B673" t="s">
        <v>1007</v>
      </c>
      <c r="C673">
        <v>66</v>
      </c>
      <c r="D673" t="s">
        <v>1028</v>
      </c>
      <c r="E673" t="s">
        <v>1167</v>
      </c>
      <c r="F673">
        <v>26</v>
      </c>
      <c r="G673">
        <v>3</v>
      </c>
      <c r="H673">
        <f>ROUND(Calls[[#This Row],[Satisfactory Rating]],0)</f>
        <v>3</v>
      </c>
      <c r="I673" t="str" cm="1">
        <f t="array" ref="I673">_xlfn.IFS(Calls[[#This Row],[Duration (Min)]]&lt;=30,"Under 30 mins",Calls[[#This Row],[Duration (Min)]]&lt;=60,"Under 1h",Calls[[#This Row],[Duration (Min)]]&lt;=120,"Under 2",TRUE,"More than 2h")</f>
        <v>Under 2</v>
      </c>
      <c r="J673">
        <f>IF(MONTH(Calls[[#This Row],[Date of Call]])&lt;=3,YEAR(Calls[[#This Row],[Date of Call]]),YEAR(Calls[[#This Row],[Date of Call]])+1)</f>
        <v>2026</v>
      </c>
      <c r="K673" t="str">
        <f>TEXT(Calls[[#This Row],[Date of Call]],"dddd")</f>
        <v>Thursday</v>
      </c>
      <c r="L673" t="str">
        <f>TEXT(Calls[[#This Row],[Date of Call]],"mmm")</f>
        <v>May</v>
      </c>
    </row>
    <row r="674" spans="1:12" x14ac:dyDescent="0.3">
      <c r="A674" t="s">
        <v>678</v>
      </c>
      <c r="B674" t="s">
        <v>1022</v>
      </c>
      <c r="C674">
        <v>128</v>
      </c>
      <c r="D674" t="s">
        <v>1030</v>
      </c>
      <c r="E674" t="s">
        <v>1167</v>
      </c>
      <c r="F674">
        <v>23</v>
      </c>
      <c r="G674">
        <v>1.8</v>
      </c>
      <c r="H674">
        <f>ROUND(Calls[[#This Row],[Satisfactory Rating]],0)</f>
        <v>2</v>
      </c>
      <c r="I674" t="str" cm="1">
        <f t="array" ref="I674">_xlfn.IFS(Calls[[#This Row],[Duration (Min)]]&lt;=30,"Under 30 mins",Calls[[#This Row],[Duration (Min)]]&lt;=60,"Under 1h",Calls[[#This Row],[Duration (Min)]]&lt;=120,"Under 2",TRUE,"More than 2h")</f>
        <v>More than 2h</v>
      </c>
      <c r="J674">
        <f>IF(MONTH(Calls[[#This Row],[Date of Call]])&lt;=3,YEAR(Calls[[#This Row],[Date of Call]]),YEAR(Calls[[#This Row],[Date of Call]])+1)</f>
        <v>2026</v>
      </c>
      <c r="K674" t="str">
        <f>TEXT(Calls[[#This Row],[Date of Call]],"dddd")</f>
        <v>Thursday</v>
      </c>
      <c r="L674" t="str">
        <f>TEXT(Calls[[#This Row],[Date of Call]],"mmm")</f>
        <v>May</v>
      </c>
    </row>
    <row r="675" spans="1:12" x14ac:dyDescent="0.3">
      <c r="A675" t="s">
        <v>679</v>
      </c>
      <c r="B675" t="s">
        <v>1007</v>
      </c>
      <c r="C675">
        <v>61</v>
      </c>
      <c r="D675" t="s">
        <v>1032</v>
      </c>
      <c r="E675" t="s">
        <v>1167</v>
      </c>
      <c r="F675">
        <v>40</v>
      </c>
      <c r="G675">
        <v>1.7</v>
      </c>
      <c r="H675">
        <f>ROUND(Calls[[#This Row],[Satisfactory Rating]],0)</f>
        <v>2</v>
      </c>
      <c r="I675" t="str" cm="1">
        <f t="array" ref="I675">_xlfn.IFS(Calls[[#This Row],[Duration (Min)]]&lt;=30,"Under 30 mins",Calls[[#This Row],[Duration (Min)]]&lt;=60,"Under 1h",Calls[[#This Row],[Duration (Min)]]&lt;=120,"Under 2",TRUE,"More than 2h")</f>
        <v>Under 2</v>
      </c>
      <c r="J675">
        <f>IF(MONTH(Calls[[#This Row],[Date of Call]])&lt;=3,YEAR(Calls[[#This Row],[Date of Call]]),YEAR(Calls[[#This Row],[Date of Call]])+1)</f>
        <v>2026</v>
      </c>
      <c r="K675" t="str">
        <f>TEXT(Calls[[#This Row],[Date of Call]],"dddd")</f>
        <v>Thursday</v>
      </c>
      <c r="L675" t="str">
        <f>TEXT(Calls[[#This Row],[Date of Call]],"mmm")</f>
        <v>May</v>
      </c>
    </row>
    <row r="676" spans="1:12" x14ac:dyDescent="0.3">
      <c r="A676" t="s">
        <v>680</v>
      </c>
      <c r="B676" t="s">
        <v>1020</v>
      </c>
      <c r="C676">
        <v>149</v>
      </c>
      <c r="D676" t="s">
        <v>1028</v>
      </c>
      <c r="E676" t="s">
        <v>1167</v>
      </c>
      <c r="F676">
        <v>78</v>
      </c>
      <c r="G676">
        <v>1.9</v>
      </c>
      <c r="H676">
        <f>ROUND(Calls[[#This Row],[Satisfactory Rating]],0)</f>
        <v>2</v>
      </c>
      <c r="I676" t="str" cm="1">
        <f t="array" ref="I676">_xlfn.IFS(Calls[[#This Row],[Duration (Min)]]&lt;=30,"Under 30 mins",Calls[[#This Row],[Duration (Min)]]&lt;=60,"Under 1h",Calls[[#This Row],[Duration (Min)]]&lt;=120,"Under 2",TRUE,"More than 2h")</f>
        <v>More than 2h</v>
      </c>
      <c r="J676">
        <f>IF(MONTH(Calls[[#This Row],[Date of Call]])&lt;=3,YEAR(Calls[[#This Row],[Date of Call]]),YEAR(Calls[[#This Row],[Date of Call]])+1)</f>
        <v>2026</v>
      </c>
      <c r="K676" t="str">
        <f>TEXT(Calls[[#This Row],[Date of Call]],"dddd")</f>
        <v>Thursday</v>
      </c>
      <c r="L676" t="str">
        <f>TEXT(Calls[[#This Row],[Date of Call]],"mmm")</f>
        <v>May</v>
      </c>
    </row>
    <row r="677" spans="1:12" x14ac:dyDescent="0.3">
      <c r="A677" t="s">
        <v>681</v>
      </c>
      <c r="B677" t="s">
        <v>1015</v>
      </c>
      <c r="C677">
        <v>55</v>
      </c>
      <c r="D677" t="s">
        <v>1026</v>
      </c>
      <c r="E677" t="s">
        <v>1168</v>
      </c>
      <c r="F677">
        <v>106</v>
      </c>
      <c r="G677">
        <v>4.0999999999999996</v>
      </c>
      <c r="H677">
        <f>ROUND(Calls[[#This Row],[Satisfactory Rating]],0)</f>
        <v>4</v>
      </c>
      <c r="I677" t="str" cm="1">
        <f t="array" ref="I677">_xlfn.IFS(Calls[[#This Row],[Duration (Min)]]&lt;=30,"Under 30 mins",Calls[[#This Row],[Duration (Min)]]&lt;=60,"Under 1h",Calls[[#This Row],[Duration (Min)]]&lt;=120,"Under 2",TRUE,"More than 2h")</f>
        <v>Under 1h</v>
      </c>
      <c r="J677">
        <f>IF(MONTH(Calls[[#This Row],[Date of Call]])&lt;=3,YEAR(Calls[[#This Row],[Date of Call]]),YEAR(Calls[[#This Row],[Date of Call]])+1)</f>
        <v>2026</v>
      </c>
      <c r="K677" t="str">
        <f>TEXT(Calls[[#This Row],[Date of Call]],"dddd")</f>
        <v>Friday</v>
      </c>
      <c r="L677" t="str">
        <f>TEXT(Calls[[#This Row],[Date of Call]],"mmm")</f>
        <v>May</v>
      </c>
    </row>
    <row r="678" spans="1:12" x14ac:dyDescent="0.3">
      <c r="A678" t="s">
        <v>682</v>
      </c>
      <c r="B678" t="s">
        <v>1009</v>
      </c>
      <c r="C678">
        <v>89</v>
      </c>
      <c r="D678" t="s">
        <v>1026</v>
      </c>
      <c r="E678" t="s">
        <v>1168</v>
      </c>
      <c r="F678">
        <v>50</v>
      </c>
      <c r="G678">
        <v>3.6</v>
      </c>
      <c r="H678">
        <f>ROUND(Calls[[#This Row],[Satisfactory Rating]],0)</f>
        <v>4</v>
      </c>
      <c r="I678" t="str" cm="1">
        <f t="array" ref="I678">_xlfn.IFS(Calls[[#This Row],[Duration (Min)]]&lt;=30,"Under 30 mins",Calls[[#This Row],[Duration (Min)]]&lt;=60,"Under 1h",Calls[[#This Row],[Duration (Min)]]&lt;=120,"Under 2",TRUE,"More than 2h")</f>
        <v>Under 2</v>
      </c>
      <c r="J678">
        <f>IF(MONTH(Calls[[#This Row],[Date of Call]])&lt;=3,YEAR(Calls[[#This Row],[Date of Call]]),YEAR(Calls[[#This Row],[Date of Call]])+1)</f>
        <v>2026</v>
      </c>
      <c r="K678" t="str">
        <f>TEXT(Calls[[#This Row],[Date of Call]],"dddd")</f>
        <v>Friday</v>
      </c>
      <c r="L678" t="str">
        <f>TEXT(Calls[[#This Row],[Date of Call]],"mmm")</f>
        <v>May</v>
      </c>
    </row>
    <row r="679" spans="1:12" x14ac:dyDescent="0.3">
      <c r="A679" t="s">
        <v>683</v>
      </c>
      <c r="B679" t="s">
        <v>1024</v>
      </c>
      <c r="C679">
        <v>41</v>
      </c>
      <c r="D679" t="s">
        <v>1032</v>
      </c>
      <c r="E679" t="s">
        <v>1168</v>
      </c>
      <c r="F679">
        <v>147</v>
      </c>
      <c r="G679">
        <v>3.5</v>
      </c>
      <c r="H679">
        <f>ROUND(Calls[[#This Row],[Satisfactory Rating]],0)</f>
        <v>4</v>
      </c>
      <c r="I679" t="str" cm="1">
        <f t="array" ref="I679">_xlfn.IFS(Calls[[#This Row],[Duration (Min)]]&lt;=30,"Under 30 mins",Calls[[#This Row],[Duration (Min)]]&lt;=60,"Under 1h",Calls[[#This Row],[Duration (Min)]]&lt;=120,"Under 2",TRUE,"More than 2h")</f>
        <v>Under 1h</v>
      </c>
      <c r="J679">
        <f>IF(MONTH(Calls[[#This Row],[Date of Call]])&lt;=3,YEAR(Calls[[#This Row],[Date of Call]]),YEAR(Calls[[#This Row],[Date of Call]])+1)</f>
        <v>2026</v>
      </c>
      <c r="K679" t="str">
        <f>TEXT(Calls[[#This Row],[Date of Call]],"dddd")</f>
        <v>Friday</v>
      </c>
      <c r="L679" t="str">
        <f>TEXT(Calls[[#This Row],[Date of Call]],"mmm")</f>
        <v>May</v>
      </c>
    </row>
    <row r="680" spans="1:12" x14ac:dyDescent="0.3">
      <c r="A680" t="s">
        <v>684</v>
      </c>
      <c r="B680" t="s">
        <v>1015</v>
      </c>
      <c r="C680">
        <v>73</v>
      </c>
      <c r="D680" t="s">
        <v>1031</v>
      </c>
      <c r="E680" t="s">
        <v>1168</v>
      </c>
      <c r="F680">
        <v>25</v>
      </c>
      <c r="G680">
        <v>4.5</v>
      </c>
      <c r="H680">
        <f>ROUND(Calls[[#This Row],[Satisfactory Rating]],0)</f>
        <v>5</v>
      </c>
      <c r="I680" t="str" cm="1">
        <f t="array" ref="I680">_xlfn.IFS(Calls[[#This Row],[Duration (Min)]]&lt;=30,"Under 30 mins",Calls[[#This Row],[Duration (Min)]]&lt;=60,"Under 1h",Calls[[#This Row],[Duration (Min)]]&lt;=120,"Under 2",TRUE,"More than 2h")</f>
        <v>Under 2</v>
      </c>
      <c r="J680">
        <f>IF(MONTH(Calls[[#This Row],[Date of Call]])&lt;=3,YEAR(Calls[[#This Row],[Date of Call]]),YEAR(Calls[[#This Row],[Date of Call]])+1)</f>
        <v>2026</v>
      </c>
      <c r="K680" t="str">
        <f>TEXT(Calls[[#This Row],[Date of Call]],"dddd")</f>
        <v>Friday</v>
      </c>
      <c r="L680" t="str">
        <f>TEXT(Calls[[#This Row],[Date of Call]],"mmm")</f>
        <v>May</v>
      </c>
    </row>
    <row r="681" spans="1:12" x14ac:dyDescent="0.3">
      <c r="A681" t="s">
        <v>685</v>
      </c>
      <c r="B681" t="s">
        <v>1016</v>
      </c>
      <c r="C681">
        <v>26</v>
      </c>
      <c r="D681" t="s">
        <v>1027</v>
      </c>
      <c r="E681" t="s">
        <v>1168</v>
      </c>
      <c r="F681">
        <v>42</v>
      </c>
      <c r="G681">
        <v>2.5</v>
      </c>
      <c r="H681">
        <f>ROUND(Calls[[#This Row],[Satisfactory Rating]],0)</f>
        <v>3</v>
      </c>
      <c r="I681" t="str" cm="1">
        <f t="array" ref="I681">_xlfn.IFS(Calls[[#This Row],[Duration (Min)]]&lt;=30,"Under 30 mins",Calls[[#This Row],[Duration (Min)]]&lt;=60,"Under 1h",Calls[[#This Row],[Duration (Min)]]&lt;=120,"Under 2",TRUE,"More than 2h")</f>
        <v>Under 30 mins</v>
      </c>
      <c r="J681">
        <f>IF(MONTH(Calls[[#This Row],[Date of Call]])&lt;=3,YEAR(Calls[[#This Row],[Date of Call]]),YEAR(Calls[[#This Row],[Date of Call]])+1)</f>
        <v>2026</v>
      </c>
      <c r="K681" t="str">
        <f>TEXT(Calls[[#This Row],[Date of Call]],"dddd")</f>
        <v>Friday</v>
      </c>
      <c r="L681" t="str">
        <f>TEXT(Calls[[#This Row],[Date of Call]],"mmm")</f>
        <v>May</v>
      </c>
    </row>
    <row r="682" spans="1:12" x14ac:dyDescent="0.3">
      <c r="A682" t="s">
        <v>686</v>
      </c>
      <c r="B682" t="s">
        <v>1008</v>
      </c>
      <c r="C682">
        <v>74</v>
      </c>
      <c r="D682" t="s">
        <v>1026</v>
      </c>
      <c r="E682" t="s">
        <v>1169</v>
      </c>
      <c r="F682">
        <v>87</v>
      </c>
      <c r="G682">
        <v>4.0999999999999996</v>
      </c>
      <c r="H682">
        <f>ROUND(Calls[[#This Row],[Satisfactory Rating]],0)</f>
        <v>4</v>
      </c>
      <c r="I682" t="str" cm="1">
        <f t="array" ref="I682">_xlfn.IFS(Calls[[#This Row],[Duration (Min)]]&lt;=30,"Under 30 mins",Calls[[#This Row],[Duration (Min)]]&lt;=60,"Under 1h",Calls[[#This Row],[Duration (Min)]]&lt;=120,"Under 2",TRUE,"More than 2h")</f>
        <v>Under 2</v>
      </c>
      <c r="J682">
        <f>IF(MONTH(Calls[[#This Row],[Date of Call]])&lt;=3,YEAR(Calls[[#This Row],[Date of Call]]),YEAR(Calls[[#This Row],[Date of Call]])+1)</f>
        <v>2026</v>
      </c>
      <c r="K682" t="str">
        <f>TEXT(Calls[[#This Row],[Date of Call]],"dddd")</f>
        <v>Saturday</v>
      </c>
      <c r="L682" t="str">
        <f>TEXT(Calls[[#This Row],[Date of Call]],"mmm")</f>
        <v>May</v>
      </c>
    </row>
    <row r="683" spans="1:12" x14ac:dyDescent="0.3">
      <c r="A683" t="s">
        <v>687</v>
      </c>
      <c r="B683" t="s">
        <v>1018</v>
      </c>
      <c r="C683">
        <v>83</v>
      </c>
      <c r="D683" t="s">
        <v>1028</v>
      </c>
      <c r="E683" t="s">
        <v>1169</v>
      </c>
      <c r="F683">
        <v>56</v>
      </c>
      <c r="G683">
        <v>3.6</v>
      </c>
      <c r="H683">
        <f>ROUND(Calls[[#This Row],[Satisfactory Rating]],0)</f>
        <v>4</v>
      </c>
      <c r="I683" t="str" cm="1">
        <f t="array" ref="I683">_xlfn.IFS(Calls[[#This Row],[Duration (Min)]]&lt;=30,"Under 30 mins",Calls[[#This Row],[Duration (Min)]]&lt;=60,"Under 1h",Calls[[#This Row],[Duration (Min)]]&lt;=120,"Under 2",TRUE,"More than 2h")</f>
        <v>Under 2</v>
      </c>
      <c r="J683">
        <f>IF(MONTH(Calls[[#This Row],[Date of Call]])&lt;=3,YEAR(Calls[[#This Row],[Date of Call]]),YEAR(Calls[[#This Row],[Date of Call]])+1)</f>
        <v>2026</v>
      </c>
      <c r="K683" t="str">
        <f>TEXT(Calls[[#This Row],[Date of Call]],"dddd")</f>
        <v>Saturday</v>
      </c>
      <c r="L683" t="str">
        <f>TEXT(Calls[[#This Row],[Date of Call]],"mmm")</f>
        <v>May</v>
      </c>
    </row>
    <row r="684" spans="1:12" x14ac:dyDescent="0.3">
      <c r="A684" t="s">
        <v>688</v>
      </c>
      <c r="B684" t="s">
        <v>1016</v>
      </c>
      <c r="C684">
        <v>70</v>
      </c>
      <c r="D684" t="s">
        <v>1027</v>
      </c>
      <c r="E684" t="s">
        <v>1169</v>
      </c>
      <c r="F684">
        <v>132</v>
      </c>
      <c r="G684">
        <v>4.9000000000000004</v>
      </c>
      <c r="H684">
        <f>ROUND(Calls[[#This Row],[Satisfactory Rating]],0)</f>
        <v>5</v>
      </c>
      <c r="I684" t="str" cm="1">
        <f t="array" ref="I684">_xlfn.IFS(Calls[[#This Row],[Duration (Min)]]&lt;=30,"Under 30 mins",Calls[[#This Row],[Duration (Min)]]&lt;=60,"Under 1h",Calls[[#This Row],[Duration (Min)]]&lt;=120,"Under 2",TRUE,"More than 2h")</f>
        <v>Under 2</v>
      </c>
      <c r="J684">
        <f>IF(MONTH(Calls[[#This Row],[Date of Call]])&lt;=3,YEAR(Calls[[#This Row],[Date of Call]]),YEAR(Calls[[#This Row],[Date of Call]])+1)</f>
        <v>2026</v>
      </c>
      <c r="K684" t="str">
        <f>TEXT(Calls[[#This Row],[Date of Call]],"dddd")</f>
        <v>Saturday</v>
      </c>
      <c r="L684" t="str">
        <f>TEXT(Calls[[#This Row],[Date of Call]],"mmm")</f>
        <v>May</v>
      </c>
    </row>
    <row r="685" spans="1:12" x14ac:dyDescent="0.3">
      <c r="A685" t="s">
        <v>689</v>
      </c>
      <c r="B685" t="s">
        <v>1021</v>
      </c>
      <c r="C685">
        <v>95</v>
      </c>
      <c r="D685" t="s">
        <v>1031</v>
      </c>
      <c r="E685" t="s">
        <v>1169</v>
      </c>
      <c r="F685">
        <v>150</v>
      </c>
      <c r="G685">
        <v>3.8</v>
      </c>
      <c r="H685">
        <f>ROUND(Calls[[#This Row],[Satisfactory Rating]],0)</f>
        <v>4</v>
      </c>
      <c r="I685" t="str" cm="1">
        <f t="array" ref="I685">_xlfn.IFS(Calls[[#This Row],[Duration (Min)]]&lt;=30,"Under 30 mins",Calls[[#This Row],[Duration (Min)]]&lt;=60,"Under 1h",Calls[[#This Row],[Duration (Min)]]&lt;=120,"Under 2",TRUE,"More than 2h")</f>
        <v>Under 2</v>
      </c>
      <c r="J685">
        <f>IF(MONTH(Calls[[#This Row],[Date of Call]])&lt;=3,YEAR(Calls[[#This Row],[Date of Call]]),YEAR(Calls[[#This Row],[Date of Call]])+1)</f>
        <v>2026</v>
      </c>
      <c r="K685" t="str">
        <f>TEXT(Calls[[#This Row],[Date of Call]],"dddd")</f>
        <v>Saturday</v>
      </c>
      <c r="L685" t="str">
        <f>TEXT(Calls[[#This Row],[Date of Call]],"mmm")</f>
        <v>May</v>
      </c>
    </row>
    <row r="686" spans="1:12" x14ac:dyDescent="0.3">
      <c r="A686" t="s">
        <v>690</v>
      </c>
      <c r="B686" t="s">
        <v>1006</v>
      </c>
      <c r="C686">
        <v>35</v>
      </c>
      <c r="D686" t="s">
        <v>1028</v>
      </c>
      <c r="E686" t="s">
        <v>1169</v>
      </c>
      <c r="F686">
        <v>25</v>
      </c>
      <c r="G686">
        <v>4.5999999999999996</v>
      </c>
      <c r="H686">
        <f>ROUND(Calls[[#This Row],[Satisfactory Rating]],0)</f>
        <v>5</v>
      </c>
      <c r="I686" t="str" cm="1">
        <f t="array" ref="I686">_xlfn.IFS(Calls[[#This Row],[Duration (Min)]]&lt;=30,"Under 30 mins",Calls[[#This Row],[Duration (Min)]]&lt;=60,"Under 1h",Calls[[#This Row],[Duration (Min)]]&lt;=120,"Under 2",TRUE,"More than 2h")</f>
        <v>Under 1h</v>
      </c>
      <c r="J686">
        <f>IF(MONTH(Calls[[#This Row],[Date of Call]])&lt;=3,YEAR(Calls[[#This Row],[Date of Call]]),YEAR(Calls[[#This Row],[Date of Call]])+1)</f>
        <v>2026</v>
      </c>
      <c r="K686" t="str">
        <f>TEXT(Calls[[#This Row],[Date of Call]],"dddd")</f>
        <v>Saturday</v>
      </c>
      <c r="L686" t="str">
        <f>TEXT(Calls[[#This Row],[Date of Call]],"mmm")</f>
        <v>May</v>
      </c>
    </row>
    <row r="687" spans="1:12" x14ac:dyDescent="0.3">
      <c r="A687" t="s">
        <v>691</v>
      </c>
      <c r="B687" t="s">
        <v>1006</v>
      </c>
      <c r="C687">
        <v>152</v>
      </c>
      <c r="D687" t="s">
        <v>1031</v>
      </c>
      <c r="E687" t="s">
        <v>1170</v>
      </c>
      <c r="F687">
        <v>85</v>
      </c>
      <c r="G687">
        <v>3.2</v>
      </c>
      <c r="H687">
        <f>ROUND(Calls[[#This Row],[Satisfactory Rating]],0)</f>
        <v>3</v>
      </c>
      <c r="I687" t="str" cm="1">
        <f t="array" ref="I687">_xlfn.IFS(Calls[[#This Row],[Duration (Min)]]&lt;=30,"Under 30 mins",Calls[[#This Row],[Duration (Min)]]&lt;=60,"Under 1h",Calls[[#This Row],[Duration (Min)]]&lt;=120,"Under 2",TRUE,"More than 2h")</f>
        <v>More than 2h</v>
      </c>
      <c r="J687">
        <f>IF(MONTH(Calls[[#This Row],[Date of Call]])&lt;=3,YEAR(Calls[[#This Row],[Date of Call]]),YEAR(Calls[[#This Row],[Date of Call]])+1)</f>
        <v>2026</v>
      </c>
      <c r="K687" t="str">
        <f>TEXT(Calls[[#This Row],[Date of Call]],"dddd")</f>
        <v>Sunday</v>
      </c>
      <c r="L687" t="str">
        <f>TEXT(Calls[[#This Row],[Date of Call]],"mmm")</f>
        <v>May</v>
      </c>
    </row>
    <row r="688" spans="1:12" x14ac:dyDescent="0.3">
      <c r="A688" t="s">
        <v>692</v>
      </c>
      <c r="B688" t="s">
        <v>1018</v>
      </c>
      <c r="C688">
        <v>56</v>
      </c>
      <c r="D688" t="s">
        <v>1032</v>
      </c>
      <c r="E688" t="s">
        <v>1170</v>
      </c>
      <c r="F688">
        <v>32</v>
      </c>
      <c r="G688">
        <v>1.8</v>
      </c>
      <c r="H688">
        <f>ROUND(Calls[[#This Row],[Satisfactory Rating]],0)</f>
        <v>2</v>
      </c>
      <c r="I688" t="str" cm="1">
        <f t="array" ref="I688">_xlfn.IFS(Calls[[#This Row],[Duration (Min)]]&lt;=30,"Under 30 mins",Calls[[#This Row],[Duration (Min)]]&lt;=60,"Under 1h",Calls[[#This Row],[Duration (Min)]]&lt;=120,"Under 2",TRUE,"More than 2h")</f>
        <v>Under 1h</v>
      </c>
      <c r="J688">
        <f>IF(MONTH(Calls[[#This Row],[Date of Call]])&lt;=3,YEAR(Calls[[#This Row],[Date of Call]]),YEAR(Calls[[#This Row],[Date of Call]])+1)</f>
        <v>2026</v>
      </c>
      <c r="K688" t="str">
        <f>TEXT(Calls[[#This Row],[Date of Call]],"dddd")</f>
        <v>Sunday</v>
      </c>
      <c r="L688" t="str">
        <f>TEXT(Calls[[#This Row],[Date of Call]],"mmm")</f>
        <v>May</v>
      </c>
    </row>
    <row r="689" spans="1:12" x14ac:dyDescent="0.3">
      <c r="A689" t="s">
        <v>693</v>
      </c>
      <c r="B689" t="s">
        <v>1019</v>
      </c>
      <c r="C689">
        <v>57</v>
      </c>
      <c r="D689" t="s">
        <v>1032</v>
      </c>
      <c r="E689" t="s">
        <v>1170</v>
      </c>
      <c r="F689">
        <v>26</v>
      </c>
      <c r="G689">
        <v>1.5</v>
      </c>
      <c r="H689">
        <f>ROUND(Calls[[#This Row],[Satisfactory Rating]],0)</f>
        <v>2</v>
      </c>
      <c r="I689" t="str" cm="1">
        <f t="array" ref="I689">_xlfn.IFS(Calls[[#This Row],[Duration (Min)]]&lt;=30,"Under 30 mins",Calls[[#This Row],[Duration (Min)]]&lt;=60,"Under 1h",Calls[[#This Row],[Duration (Min)]]&lt;=120,"Under 2",TRUE,"More than 2h")</f>
        <v>Under 1h</v>
      </c>
      <c r="J689">
        <f>IF(MONTH(Calls[[#This Row],[Date of Call]])&lt;=3,YEAR(Calls[[#This Row],[Date of Call]]),YEAR(Calls[[#This Row],[Date of Call]])+1)</f>
        <v>2026</v>
      </c>
      <c r="K689" t="str">
        <f>TEXT(Calls[[#This Row],[Date of Call]],"dddd")</f>
        <v>Sunday</v>
      </c>
      <c r="L689" t="str">
        <f>TEXT(Calls[[#This Row],[Date of Call]],"mmm")</f>
        <v>May</v>
      </c>
    </row>
    <row r="690" spans="1:12" x14ac:dyDescent="0.3">
      <c r="A690" t="s">
        <v>694</v>
      </c>
      <c r="B690" t="s">
        <v>1025</v>
      </c>
      <c r="C690">
        <v>38</v>
      </c>
      <c r="D690" t="s">
        <v>1030</v>
      </c>
      <c r="E690" t="s">
        <v>1170</v>
      </c>
      <c r="F690">
        <v>130</v>
      </c>
      <c r="G690">
        <v>2.4</v>
      </c>
      <c r="H690">
        <f>ROUND(Calls[[#This Row],[Satisfactory Rating]],0)</f>
        <v>2</v>
      </c>
      <c r="I690" t="str" cm="1">
        <f t="array" ref="I690">_xlfn.IFS(Calls[[#This Row],[Duration (Min)]]&lt;=30,"Under 30 mins",Calls[[#This Row],[Duration (Min)]]&lt;=60,"Under 1h",Calls[[#This Row],[Duration (Min)]]&lt;=120,"Under 2",TRUE,"More than 2h")</f>
        <v>Under 1h</v>
      </c>
      <c r="J690">
        <f>IF(MONTH(Calls[[#This Row],[Date of Call]])&lt;=3,YEAR(Calls[[#This Row],[Date of Call]]),YEAR(Calls[[#This Row],[Date of Call]])+1)</f>
        <v>2026</v>
      </c>
      <c r="K690" t="str">
        <f>TEXT(Calls[[#This Row],[Date of Call]],"dddd")</f>
        <v>Sunday</v>
      </c>
      <c r="L690" t="str">
        <f>TEXT(Calls[[#This Row],[Date of Call]],"mmm")</f>
        <v>May</v>
      </c>
    </row>
    <row r="691" spans="1:12" x14ac:dyDescent="0.3">
      <c r="A691" t="s">
        <v>695</v>
      </c>
      <c r="B691" t="s">
        <v>1024</v>
      </c>
      <c r="C691">
        <v>153</v>
      </c>
      <c r="D691" t="s">
        <v>1032</v>
      </c>
      <c r="E691" t="s">
        <v>1170</v>
      </c>
      <c r="F691">
        <v>135</v>
      </c>
      <c r="G691">
        <v>4.0999999999999996</v>
      </c>
      <c r="H691">
        <f>ROUND(Calls[[#This Row],[Satisfactory Rating]],0)</f>
        <v>4</v>
      </c>
      <c r="I691" t="str" cm="1">
        <f t="array" ref="I691">_xlfn.IFS(Calls[[#This Row],[Duration (Min)]]&lt;=30,"Under 30 mins",Calls[[#This Row],[Duration (Min)]]&lt;=60,"Under 1h",Calls[[#This Row],[Duration (Min)]]&lt;=120,"Under 2",TRUE,"More than 2h")</f>
        <v>More than 2h</v>
      </c>
      <c r="J691">
        <f>IF(MONTH(Calls[[#This Row],[Date of Call]])&lt;=3,YEAR(Calls[[#This Row],[Date of Call]]),YEAR(Calls[[#This Row],[Date of Call]])+1)</f>
        <v>2026</v>
      </c>
      <c r="K691" t="str">
        <f>TEXT(Calls[[#This Row],[Date of Call]],"dddd")</f>
        <v>Sunday</v>
      </c>
      <c r="L691" t="str">
        <f>TEXT(Calls[[#This Row],[Date of Call]],"mmm")</f>
        <v>May</v>
      </c>
    </row>
    <row r="692" spans="1:12" x14ac:dyDescent="0.3">
      <c r="A692" t="s">
        <v>696</v>
      </c>
      <c r="B692" t="s">
        <v>1022</v>
      </c>
      <c r="C692">
        <v>140</v>
      </c>
      <c r="D692" t="s">
        <v>1030</v>
      </c>
      <c r="E692" t="s">
        <v>1171</v>
      </c>
      <c r="F692">
        <v>36</v>
      </c>
      <c r="G692">
        <v>1.7</v>
      </c>
      <c r="H692">
        <f>ROUND(Calls[[#This Row],[Satisfactory Rating]],0)</f>
        <v>2</v>
      </c>
      <c r="I692" t="str" cm="1">
        <f t="array" ref="I692">_xlfn.IFS(Calls[[#This Row],[Duration (Min)]]&lt;=30,"Under 30 mins",Calls[[#This Row],[Duration (Min)]]&lt;=60,"Under 1h",Calls[[#This Row],[Duration (Min)]]&lt;=120,"Under 2",TRUE,"More than 2h")</f>
        <v>More than 2h</v>
      </c>
      <c r="J692">
        <f>IF(MONTH(Calls[[#This Row],[Date of Call]])&lt;=3,YEAR(Calls[[#This Row],[Date of Call]]),YEAR(Calls[[#This Row],[Date of Call]])+1)</f>
        <v>2026</v>
      </c>
      <c r="K692" t="str">
        <f>TEXT(Calls[[#This Row],[Date of Call]],"dddd")</f>
        <v>Monday</v>
      </c>
      <c r="L692" t="str">
        <f>TEXT(Calls[[#This Row],[Date of Call]],"mmm")</f>
        <v>May</v>
      </c>
    </row>
    <row r="693" spans="1:12" x14ac:dyDescent="0.3">
      <c r="A693" t="s">
        <v>697</v>
      </c>
      <c r="B693" t="s">
        <v>1006</v>
      </c>
      <c r="C693">
        <v>148</v>
      </c>
      <c r="D693" t="s">
        <v>1029</v>
      </c>
      <c r="E693" t="s">
        <v>1171</v>
      </c>
      <c r="F693">
        <v>128</v>
      </c>
      <c r="G693">
        <v>2.5</v>
      </c>
      <c r="H693">
        <f>ROUND(Calls[[#This Row],[Satisfactory Rating]],0)</f>
        <v>3</v>
      </c>
      <c r="I693" t="str" cm="1">
        <f t="array" ref="I693">_xlfn.IFS(Calls[[#This Row],[Duration (Min)]]&lt;=30,"Under 30 mins",Calls[[#This Row],[Duration (Min)]]&lt;=60,"Under 1h",Calls[[#This Row],[Duration (Min)]]&lt;=120,"Under 2",TRUE,"More than 2h")</f>
        <v>More than 2h</v>
      </c>
      <c r="J693">
        <f>IF(MONTH(Calls[[#This Row],[Date of Call]])&lt;=3,YEAR(Calls[[#This Row],[Date of Call]]),YEAR(Calls[[#This Row],[Date of Call]])+1)</f>
        <v>2026</v>
      </c>
      <c r="K693" t="str">
        <f>TEXT(Calls[[#This Row],[Date of Call]],"dddd")</f>
        <v>Monday</v>
      </c>
      <c r="L693" t="str">
        <f>TEXT(Calls[[#This Row],[Date of Call]],"mmm")</f>
        <v>May</v>
      </c>
    </row>
    <row r="694" spans="1:12" x14ac:dyDescent="0.3">
      <c r="A694" t="s">
        <v>698</v>
      </c>
      <c r="B694" t="s">
        <v>1025</v>
      </c>
      <c r="C694">
        <v>150</v>
      </c>
      <c r="D694" t="s">
        <v>1031</v>
      </c>
      <c r="E694" t="s">
        <v>1171</v>
      </c>
      <c r="F694">
        <v>81</v>
      </c>
      <c r="G694">
        <v>4.5</v>
      </c>
      <c r="H694">
        <f>ROUND(Calls[[#This Row],[Satisfactory Rating]],0)</f>
        <v>5</v>
      </c>
      <c r="I694" t="str" cm="1">
        <f t="array" ref="I694">_xlfn.IFS(Calls[[#This Row],[Duration (Min)]]&lt;=30,"Under 30 mins",Calls[[#This Row],[Duration (Min)]]&lt;=60,"Under 1h",Calls[[#This Row],[Duration (Min)]]&lt;=120,"Under 2",TRUE,"More than 2h")</f>
        <v>More than 2h</v>
      </c>
      <c r="J694">
        <f>IF(MONTH(Calls[[#This Row],[Date of Call]])&lt;=3,YEAR(Calls[[#This Row],[Date of Call]]),YEAR(Calls[[#This Row],[Date of Call]])+1)</f>
        <v>2026</v>
      </c>
      <c r="K694" t="str">
        <f>TEXT(Calls[[#This Row],[Date of Call]],"dddd")</f>
        <v>Monday</v>
      </c>
      <c r="L694" t="str">
        <f>TEXT(Calls[[#This Row],[Date of Call]],"mmm")</f>
        <v>May</v>
      </c>
    </row>
    <row r="695" spans="1:12" x14ac:dyDescent="0.3">
      <c r="A695" t="s">
        <v>699</v>
      </c>
      <c r="B695" t="s">
        <v>1015</v>
      </c>
      <c r="C695">
        <v>97</v>
      </c>
      <c r="D695" t="s">
        <v>1029</v>
      </c>
      <c r="E695" t="s">
        <v>1171</v>
      </c>
      <c r="F695">
        <v>74</v>
      </c>
      <c r="G695">
        <v>2.8</v>
      </c>
      <c r="H695">
        <f>ROUND(Calls[[#This Row],[Satisfactory Rating]],0)</f>
        <v>3</v>
      </c>
      <c r="I695" t="str" cm="1">
        <f t="array" ref="I695">_xlfn.IFS(Calls[[#This Row],[Duration (Min)]]&lt;=30,"Under 30 mins",Calls[[#This Row],[Duration (Min)]]&lt;=60,"Under 1h",Calls[[#This Row],[Duration (Min)]]&lt;=120,"Under 2",TRUE,"More than 2h")</f>
        <v>Under 2</v>
      </c>
      <c r="J695">
        <f>IF(MONTH(Calls[[#This Row],[Date of Call]])&lt;=3,YEAR(Calls[[#This Row],[Date of Call]]),YEAR(Calls[[#This Row],[Date of Call]])+1)</f>
        <v>2026</v>
      </c>
      <c r="K695" t="str">
        <f>TEXT(Calls[[#This Row],[Date of Call]],"dddd")</f>
        <v>Monday</v>
      </c>
      <c r="L695" t="str">
        <f>TEXT(Calls[[#This Row],[Date of Call]],"mmm")</f>
        <v>May</v>
      </c>
    </row>
    <row r="696" spans="1:12" x14ac:dyDescent="0.3">
      <c r="A696" t="s">
        <v>700</v>
      </c>
      <c r="B696" t="s">
        <v>1007</v>
      </c>
      <c r="C696">
        <v>99</v>
      </c>
      <c r="D696" t="s">
        <v>1032</v>
      </c>
      <c r="E696" t="s">
        <v>1171</v>
      </c>
      <c r="F696">
        <v>142</v>
      </c>
      <c r="G696">
        <v>4.7</v>
      </c>
      <c r="H696">
        <f>ROUND(Calls[[#This Row],[Satisfactory Rating]],0)</f>
        <v>5</v>
      </c>
      <c r="I696" t="str" cm="1">
        <f t="array" ref="I696">_xlfn.IFS(Calls[[#This Row],[Duration (Min)]]&lt;=30,"Under 30 mins",Calls[[#This Row],[Duration (Min)]]&lt;=60,"Under 1h",Calls[[#This Row],[Duration (Min)]]&lt;=120,"Under 2",TRUE,"More than 2h")</f>
        <v>Under 2</v>
      </c>
      <c r="J696">
        <f>IF(MONTH(Calls[[#This Row],[Date of Call]])&lt;=3,YEAR(Calls[[#This Row],[Date of Call]]),YEAR(Calls[[#This Row],[Date of Call]])+1)</f>
        <v>2026</v>
      </c>
      <c r="K696" t="str">
        <f>TEXT(Calls[[#This Row],[Date of Call]],"dddd")</f>
        <v>Monday</v>
      </c>
      <c r="L696" t="str">
        <f>TEXT(Calls[[#This Row],[Date of Call]],"mmm")</f>
        <v>May</v>
      </c>
    </row>
    <row r="697" spans="1:12" x14ac:dyDescent="0.3">
      <c r="A697" t="s">
        <v>701</v>
      </c>
      <c r="B697" t="s">
        <v>1013</v>
      </c>
      <c r="C697">
        <v>16</v>
      </c>
      <c r="D697" t="s">
        <v>1031</v>
      </c>
      <c r="E697" t="s">
        <v>1172</v>
      </c>
      <c r="F697">
        <v>85</v>
      </c>
      <c r="G697">
        <v>3.7</v>
      </c>
      <c r="H697">
        <f>ROUND(Calls[[#This Row],[Satisfactory Rating]],0)</f>
        <v>4</v>
      </c>
      <c r="I697" t="str" cm="1">
        <f t="array" ref="I697">_xlfn.IFS(Calls[[#This Row],[Duration (Min)]]&lt;=30,"Under 30 mins",Calls[[#This Row],[Duration (Min)]]&lt;=60,"Under 1h",Calls[[#This Row],[Duration (Min)]]&lt;=120,"Under 2",TRUE,"More than 2h")</f>
        <v>Under 30 mins</v>
      </c>
      <c r="J697">
        <f>IF(MONTH(Calls[[#This Row],[Date of Call]])&lt;=3,YEAR(Calls[[#This Row],[Date of Call]]),YEAR(Calls[[#This Row],[Date of Call]])+1)</f>
        <v>2026</v>
      </c>
      <c r="K697" t="str">
        <f>TEXT(Calls[[#This Row],[Date of Call]],"dddd")</f>
        <v>Tuesday</v>
      </c>
      <c r="L697" t="str">
        <f>TEXT(Calls[[#This Row],[Date of Call]],"mmm")</f>
        <v>May</v>
      </c>
    </row>
    <row r="698" spans="1:12" x14ac:dyDescent="0.3">
      <c r="A698" t="s">
        <v>702</v>
      </c>
      <c r="B698" t="s">
        <v>1024</v>
      </c>
      <c r="C698">
        <v>70</v>
      </c>
      <c r="D698" t="s">
        <v>1031</v>
      </c>
      <c r="E698" t="s">
        <v>1172</v>
      </c>
      <c r="F698">
        <v>52</v>
      </c>
      <c r="G698">
        <v>1.9</v>
      </c>
      <c r="H698">
        <f>ROUND(Calls[[#This Row],[Satisfactory Rating]],0)</f>
        <v>2</v>
      </c>
      <c r="I698" t="str" cm="1">
        <f t="array" ref="I698">_xlfn.IFS(Calls[[#This Row],[Duration (Min)]]&lt;=30,"Under 30 mins",Calls[[#This Row],[Duration (Min)]]&lt;=60,"Under 1h",Calls[[#This Row],[Duration (Min)]]&lt;=120,"Under 2",TRUE,"More than 2h")</f>
        <v>Under 2</v>
      </c>
      <c r="J698">
        <f>IF(MONTH(Calls[[#This Row],[Date of Call]])&lt;=3,YEAR(Calls[[#This Row],[Date of Call]]),YEAR(Calls[[#This Row],[Date of Call]])+1)</f>
        <v>2026</v>
      </c>
      <c r="K698" t="str">
        <f>TEXT(Calls[[#This Row],[Date of Call]],"dddd")</f>
        <v>Tuesday</v>
      </c>
      <c r="L698" t="str">
        <f>TEXT(Calls[[#This Row],[Date of Call]],"mmm")</f>
        <v>May</v>
      </c>
    </row>
    <row r="699" spans="1:12" x14ac:dyDescent="0.3">
      <c r="A699" t="s">
        <v>703</v>
      </c>
      <c r="B699" t="s">
        <v>1018</v>
      </c>
      <c r="C699">
        <v>51</v>
      </c>
      <c r="D699" t="s">
        <v>1032</v>
      </c>
      <c r="E699" t="s">
        <v>1172</v>
      </c>
      <c r="F699">
        <v>131</v>
      </c>
      <c r="G699">
        <v>4.0999999999999996</v>
      </c>
      <c r="H699">
        <f>ROUND(Calls[[#This Row],[Satisfactory Rating]],0)</f>
        <v>4</v>
      </c>
      <c r="I699" t="str" cm="1">
        <f t="array" ref="I699">_xlfn.IFS(Calls[[#This Row],[Duration (Min)]]&lt;=30,"Under 30 mins",Calls[[#This Row],[Duration (Min)]]&lt;=60,"Under 1h",Calls[[#This Row],[Duration (Min)]]&lt;=120,"Under 2",TRUE,"More than 2h")</f>
        <v>Under 1h</v>
      </c>
      <c r="J699">
        <f>IF(MONTH(Calls[[#This Row],[Date of Call]])&lt;=3,YEAR(Calls[[#This Row],[Date of Call]]),YEAR(Calls[[#This Row],[Date of Call]])+1)</f>
        <v>2026</v>
      </c>
      <c r="K699" t="str">
        <f>TEXT(Calls[[#This Row],[Date of Call]],"dddd")</f>
        <v>Tuesday</v>
      </c>
      <c r="L699" t="str">
        <f>TEXT(Calls[[#This Row],[Date of Call]],"mmm")</f>
        <v>May</v>
      </c>
    </row>
    <row r="700" spans="1:12" x14ac:dyDescent="0.3">
      <c r="A700" t="s">
        <v>704</v>
      </c>
      <c r="B700" t="s">
        <v>1013</v>
      </c>
      <c r="C700">
        <v>129</v>
      </c>
      <c r="D700" t="s">
        <v>1031</v>
      </c>
      <c r="E700" t="s">
        <v>1172</v>
      </c>
      <c r="F700">
        <v>61</v>
      </c>
      <c r="G700">
        <v>2.4</v>
      </c>
      <c r="H700">
        <f>ROUND(Calls[[#This Row],[Satisfactory Rating]],0)</f>
        <v>2</v>
      </c>
      <c r="I700" t="str" cm="1">
        <f t="array" ref="I700">_xlfn.IFS(Calls[[#This Row],[Duration (Min)]]&lt;=30,"Under 30 mins",Calls[[#This Row],[Duration (Min)]]&lt;=60,"Under 1h",Calls[[#This Row],[Duration (Min)]]&lt;=120,"Under 2",TRUE,"More than 2h")</f>
        <v>More than 2h</v>
      </c>
      <c r="J700">
        <f>IF(MONTH(Calls[[#This Row],[Date of Call]])&lt;=3,YEAR(Calls[[#This Row],[Date of Call]]),YEAR(Calls[[#This Row],[Date of Call]])+1)</f>
        <v>2026</v>
      </c>
      <c r="K700" t="str">
        <f>TEXT(Calls[[#This Row],[Date of Call]],"dddd")</f>
        <v>Tuesday</v>
      </c>
      <c r="L700" t="str">
        <f>TEXT(Calls[[#This Row],[Date of Call]],"mmm")</f>
        <v>May</v>
      </c>
    </row>
    <row r="701" spans="1:12" x14ac:dyDescent="0.3">
      <c r="A701" t="s">
        <v>705</v>
      </c>
      <c r="B701" t="s">
        <v>1024</v>
      </c>
      <c r="C701">
        <v>110</v>
      </c>
      <c r="D701" t="s">
        <v>1031</v>
      </c>
      <c r="E701" t="s">
        <v>1172</v>
      </c>
      <c r="F701">
        <v>125</v>
      </c>
      <c r="G701">
        <v>1.6</v>
      </c>
      <c r="H701">
        <f>ROUND(Calls[[#This Row],[Satisfactory Rating]],0)</f>
        <v>2</v>
      </c>
      <c r="I701" t="str" cm="1">
        <f t="array" ref="I701">_xlfn.IFS(Calls[[#This Row],[Duration (Min)]]&lt;=30,"Under 30 mins",Calls[[#This Row],[Duration (Min)]]&lt;=60,"Under 1h",Calls[[#This Row],[Duration (Min)]]&lt;=120,"Under 2",TRUE,"More than 2h")</f>
        <v>Under 2</v>
      </c>
      <c r="J701">
        <f>IF(MONTH(Calls[[#This Row],[Date of Call]])&lt;=3,YEAR(Calls[[#This Row],[Date of Call]]),YEAR(Calls[[#This Row],[Date of Call]])+1)</f>
        <v>2026</v>
      </c>
      <c r="K701" t="str">
        <f>TEXT(Calls[[#This Row],[Date of Call]],"dddd")</f>
        <v>Tuesday</v>
      </c>
      <c r="L701" t="str">
        <f>TEXT(Calls[[#This Row],[Date of Call]],"mmm")</f>
        <v>May</v>
      </c>
    </row>
    <row r="702" spans="1:12" x14ac:dyDescent="0.3">
      <c r="A702" t="s">
        <v>706</v>
      </c>
      <c r="B702" t="s">
        <v>1019</v>
      </c>
      <c r="C702">
        <v>13</v>
      </c>
      <c r="D702" t="s">
        <v>1032</v>
      </c>
      <c r="E702" t="s">
        <v>1173</v>
      </c>
      <c r="F702">
        <v>32</v>
      </c>
      <c r="G702">
        <v>2.9</v>
      </c>
      <c r="H702">
        <f>ROUND(Calls[[#This Row],[Satisfactory Rating]],0)</f>
        <v>3</v>
      </c>
      <c r="I702" t="str" cm="1">
        <f t="array" ref="I702">_xlfn.IFS(Calls[[#This Row],[Duration (Min)]]&lt;=30,"Under 30 mins",Calls[[#This Row],[Duration (Min)]]&lt;=60,"Under 1h",Calls[[#This Row],[Duration (Min)]]&lt;=120,"Under 2",TRUE,"More than 2h")</f>
        <v>Under 30 mins</v>
      </c>
      <c r="J702">
        <f>IF(MONTH(Calls[[#This Row],[Date of Call]])&lt;=3,YEAR(Calls[[#This Row],[Date of Call]]),YEAR(Calls[[#This Row],[Date of Call]])+1)</f>
        <v>2026</v>
      </c>
      <c r="K702" t="str">
        <f>TEXT(Calls[[#This Row],[Date of Call]],"dddd")</f>
        <v>Wednesday</v>
      </c>
      <c r="L702" t="str">
        <f>TEXT(Calls[[#This Row],[Date of Call]],"mmm")</f>
        <v>May</v>
      </c>
    </row>
    <row r="703" spans="1:12" x14ac:dyDescent="0.3">
      <c r="A703" t="s">
        <v>707</v>
      </c>
      <c r="B703" t="s">
        <v>1011</v>
      </c>
      <c r="C703">
        <v>34</v>
      </c>
      <c r="D703" t="s">
        <v>1026</v>
      </c>
      <c r="E703" t="s">
        <v>1173</v>
      </c>
      <c r="F703">
        <v>119</v>
      </c>
      <c r="G703">
        <v>3.2</v>
      </c>
      <c r="H703">
        <f>ROUND(Calls[[#This Row],[Satisfactory Rating]],0)</f>
        <v>3</v>
      </c>
      <c r="I703" t="str" cm="1">
        <f t="array" ref="I703">_xlfn.IFS(Calls[[#This Row],[Duration (Min)]]&lt;=30,"Under 30 mins",Calls[[#This Row],[Duration (Min)]]&lt;=60,"Under 1h",Calls[[#This Row],[Duration (Min)]]&lt;=120,"Under 2",TRUE,"More than 2h")</f>
        <v>Under 1h</v>
      </c>
      <c r="J703">
        <f>IF(MONTH(Calls[[#This Row],[Date of Call]])&lt;=3,YEAR(Calls[[#This Row],[Date of Call]]),YEAR(Calls[[#This Row],[Date of Call]])+1)</f>
        <v>2026</v>
      </c>
      <c r="K703" t="str">
        <f>TEXT(Calls[[#This Row],[Date of Call]],"dddd")</f>
        <v>Wednesday</v>
      </c>
      <c r="L703" t="str">
        <f>TEXT(Calls[[#This Row],[Date of Call]],"mmm")</f>
        <v>May</v>
      </c>
    </row>
    <row r="704" spans="1:12" x14ac:dyDescent="0.3">
      <c r="A704" t="s">
        <v>708</v>
      </c>
      <c r="B704" t="s">
        <v>1007</v>
      </c>
      <c r="C704">
        <v>42</v>
      </c>
      <c r="D704" t="s">
        <v>1028</v>
      </c>
      <c r="E704" t="s">
        <v>1173</v>
      </c>
      <c r="F704">
        <v>127</v>
      </c>
      <c r="G704">
        <v>2.4</v>
      </c>
      <c r="H704">
        <f>ROUND(Calls[[#This Row],[Satisfactory Rating]],0)</f>
        <v>2</v>
      </c>
      <c r="I704" t="str" cm="1">
        <f t="array" ref="I704">_xlfn.IFS(Calls[[#This Row],[Duration (Min)]]&lt;=30,"Under 30 mins",Calls[[#This Row],[Duration (Min)]]&lt;=60,"Under 1h",Calls[[#This Row],[Duration (Min)]]&lt;=120,"Under 2",TRUE,"More than 2h")</f>
        <v>Under 1h</v>
      </c>
      <c r="J704">
        <f>IF(MONTH(Calls[[#This Row],[Date of Call]])&lt;=3,YEAR(Calls[[#This Row],[Date of Call]]),YEAR(Calls[[#This Row],[Date of Call]])+1)</f>
        <v>2026</v>
      </c>
      <c r="K704" t="str">
        <f>TEXT(Calls[[#This Row],[Date of Call]],"dddd")</f>
        <v>Wednesday</v>
      </c>
      <c r="L704" t="str">
        <f>TEXT(Calls[[#This Row],[Date of Call]],"mmm")</f>
        <v>May</v>
      </c>
    </row>
    <row r="705" spans="1:12" x14ac:dyDescent="0.3">
      <c r="A705" t="s">
        <v>709</v>
      </c>
      <c r="B705" t="s">
        <v>1009</v>
      </c>
      <c r="C705">
        <v>128</v>
      </c>
      <c r="D705" t="s">
        <v>1029</v>
      </c>
      <c r="E705" t="s">
        <v>1173</v>
      </c>
      <c r="F705">
        <v>69</v>
      </c>
      <c r="G705">
        <v>3.6</v>
      </c>
      <c r="H705">
        <f>ROUND(Calls[[#This Row],[Satisfactory Rating]],0)</f>
        <v>4</v>
      </c>
      <c r="I705" t="str" cm="1">
        <f t="array" ref="I705">_xlfn.IFS(Calls[[#This Row],[Duration (Min)]]&lt;=30,"Under 30 mins",Calls[[#This Row],[Duration (Min)]]&lt;=60,"Under 1h",Calls[[#This Row],[Duration (Min)]]&lt;=120,"Under 2",TRUE,"More than 2h")</f>
        <v>More than 2h</v>
      </c>
      <c r="J705">
        <f>IF(MONTH(Calls[[#This Row],[Date of Call]])&lt;=3,YEAR(Calls[[#This Row],[Date of Call]]),YEAR(Calls[[#This Row],[Date of Call]])+1)</f>
        <v>2026</v>
      </c>
      <c r="K705" t="str">
        <f>TEXT(Calls[[#This Row],[Date of Call]],"dddd")</f>
        <v>Wednesday</v>
      </c>
      <c r="L705" t="str">
        <f>TEXT(Calls[[#This Row],[Date of Call]],"mmm")</f>
        <v>May</v>
      </c>
    </row>
    <row r="706" spans="1:12" x14ac:dyDescent="0.3">
      <c r="A706" t="s">
        <v>710</v>
      </c>
      <c r="B706" t="s">
        <v>1007</v>
      </c>
      <c r="C706">
        <v>30</v>
      </c>
      <c r="D706" t="s">
        <v>1030</v>
      </c>
      <c r="E706" t="s">
        <v>1173</v>
      </c>
      <c r="F706">
        <v>65</v>
      </c>
      <c r="G706">
        <v>3.4</v>
      </c>
      <c r="H706">
        <f>ROUND(Calls[[#This Row],[Satisfactory Rating]],0)</f>
        <v>3</v>
      </c>
      <c r="I706" t="str" cm="1">
        <f t="array" ref="I706">_xlfn.IFS(Calls[[#This Row],[Duration (Min)]]&lt;=30,"Under 30 mins",Calls[[#This Row],[Duration (Min)]]&lt;=60,"Under 1h",Calls[[#This Row],[Duration (Min)]]&lt;=120,"Under 2",TRUE,"More than 2h")</f>
        <v>Under 30 mins</v>
      </c>
      <c r="J706">
        <f>IF(MONTH(Calls[[#This Row],[Date of Call]])&lt;=3,YEAR(Calls[[#This Row],[Date of Call]]),YEAR(Calls[[#This Row],[Date of Call]])+1)</f>
        <v>2026</v>
      </c>
      <c r="K706" t="str">
        <f>TEXT(Calls[[#This Row],[Date of Call]],"dddd")</f>
        <v>Wednesday</v>
      </c>
      <c r="L706" t="str">
        <f>TEXT(Calls[[#This Row],[Date of Call]],"mmm")</f>
        <v>May</v>
      </c>
    </row>
    <row r="707" spans="1:12" x14ac:dyDescent="0.3">
      <c r="A707" t="s">
        <v>711</v>
      </c>
      <c r="B707" t="s">
        <v>1006</v>
      </c>
      <c r="C707">
        <v>109</v>
      </c>
      <c r="D707" t="s">
        <v>1030</v>
      </c>
      <c r="E707" t="s">
        <v>1174</v>
      </c>
      <c r="F707">
        <v>68</v>
      </c>
      <c r="G707">
        <v>1.1000000000000001</v>
      </c>
      <c r="H707">
        <f>ROUND(Calls[[#This Row],[Satisfactory Rating]],0)</f>
        <v>1</v>
      </c>
      <c r="I707" t="str" cm="1">
        <f t="array" ref="I707">_xlfn.IFS(Calls[[#This Row],[Duration (Min)]]&lt;=30,"Under 30 mins",Calls[[#This Row],[Duration (Min)]]&lt;=60,"Under 1h",Calls[[#This Row],[Duration (Min)]]&lt;=120,"Under 2",TRUE,"More than 2h")</f>
        <v>Under 2</v>
      </c>
      <c r="J707">
        <f>IF(MONTH(Calls[[#This Row],[Date of Call]])&lt;=3,YEAR(Calls[[#This Row],[Date of Call]]),YEAR(Calls[[#This Row],[Date of Call]])+1)</f>
        <v>2026</v>
      </c>
      <c r="K707" t="str">
        <f>TEXT(Calls[[#This Row],[Date of Call]],"dddd")</f>
        <v>Thursday</v>
      </c>
      <c r="L707" t="str">
        <f>TEXT(Calls[[#This Row],[Date of Call]],"mmm")</f>
        <v>May</v>
      </c>
    </row>
    <row r="708" spans="1:12" x14ac:dyDescent="0.3">
      <c r="A708" t="s">
        <v>712</v>
      </c>
      <c r="B708" t="s">
        <v>1020</v>
      </c>
      <c r="C708">
        <v>130</v>
      </c>
      <c r="D708" t="s">
        <v>1026</v>
      </c>
      <c r="E708" t="s">
        <v>1174</v>
      </c>
      <c r="F708">
        <v>115</v>
      </c>
      <c r="G708">
        <v>1.4</v>
      </c>
      <c r="H708">
        <f>ROUND(Calls[[#This Row],[Satisfactory Rating]],0)</f>
        <v>1</v>
      </c>
      <c r="I708" t="str" cm="1">
        <f t="array" ref="I708">_xlfn.IFS(Calls[[#This Row],[Duration (Min)]]&lt;=30,"Under 30 mins",Calls[[#This Row],[Duration (Min)]]&lt;=60,"Under 1h",Calls[[#This Row],[Duration (Min)]]&lt;=120,"Under 2",TRUE,"More than 2h")</f>
        <v>More than 2h</v>
      </c>
      <c r="J708">
        <f>IF(MONTH(Calls[[#This Row],[Date of Call]])&lt;=3,YEAR(Calls[[#This Row],[Date of Call]]),YEAR(Calls[[#This Row],[Date of Call]])+1)</f>
        <v>2026</v>
      </c>
      <c r="K708" t="str">
        <f>TEXT(Calls[[#This Row],[Date of Call]],"dddd")</f>
        <v>Thursday</v>
      </c>
      <c r="L708" t="str">
        <f>TEXT(Calls[[#This Row],[Date of Call]],"mmm")</f>
        <v>May</v>
      </c>
    </row>
    <row r="709" spans="1:12" x14ac:dyDescent="0.3">
      <c r="A709" t="s">
        <v>713</v>
      </c>
      <c r="B709" t="s">
        <v>1018</v>
      </c>
      <c r="C709">
        <v>66</v>
      </c>
      <c r="D709" t="s">
        <v>1029</v>
      </c>
      <c r="E709" t="s">
        <v>1174</v>
      </c>
      <c r="F709">
        <v>52</v>
      </c>
      <c r="G709">
        <v>3.7</v>
      </c>
      <c r="H709">
        <f>ROUND(Calls[[#This Row],[Satisfactory Rating]],0)</f>
        <v>4</v>
      </c>
      <c r="I709" t="str" cm="1">
        <f t="array" ref="I709">_xlfn.IFS(Calls[[#This Row],[Duration (Min)]]&lt;=30,"Under 30 mins",Calls[[#This Row],[Duration (Min)]]&lt;=60,"Under 1h",Calls[[#This Row],[Duration (Min)]]&lt;=120,"Under 2",TRUE,"More than 2h")</f>
        <v>Under 2</v>
      </c>
      <c r="J709">
        <f>IF(MONTH(Calls[[#This Row],[Date of Call]])&lt;=3,YEAR(Calls[[#This Row],[Date of Call]]),YEAR(Calls[[#This Row],[Date of Call]])+1)</f>
        <v>2026</v>
      </c>
      <c r="K709" t="str">
        <f>TEXT(Calls[[#This Row],[Date of Call]],"dddd")</f>
        <v>Thursday</v>
      </c>
      <c r="L709" t="str">
        <f>TEXT(Calls[[#This Row],[Date of Call]],"mmm")</f>
        <v>May</v>
      </c>
    </row>
    <row r="710" spans="1:12" x14ac:dyDescent="0.3">
      <c r="A710" t="s">
        <v>714</v>
      </c>
      <c r="B710" t="s">
        <v>1013</v>
      </c>
      <c r="C710">
        <v>128</v>
      </c>
      <c r="D710" t="s">
        <v>1028</v>
      </c>
      <c r="E710" t="s">
        <v>1174</v>
      </c>
      <c r="F710">
        <v>73</v>
      </c>
      <c r="G710">
        <v>3</v>
      </c>
      <c r="H710">
        <f>ROUND(Calls[[#This Row],[Satisfactory Rating]],0)</f>
        <v>3</v>
      </c>
      <c r="I710" t="str" cm="1">
        <f t="array" ref="I710">_xlfn.IFS(Calls[[#This Row],[Duration (Min)]]&lt;=30,"Under 30 mins",Calls[[#This Row],[Duration (Min)]]&lt;=60,"Under 1h",Calls[[#This Row],[Duration (Min)]]&lt;=120,"Under 2",TRUE,"More than 2h")</f>
        <v>More than 2h</v>
      </c>
      <c r="J710">
        <f>IF(MONTH(Calls[[#This Row],[Date of Call]])&lt;=3,YEAR(Calls[[#This Row],[Date of Call]]),YEAR(Calls[[#This Row],[Date of Call]])+1)</f>
        <v>2026</v>
      </c>
      <c r="K710" t="str">
        <f>TEXT(Calls[[#This Row],[Date of Call]],"dddd")</f>
        <v>Thursday</v>
      </c>
      <c r="L710" t="str">
        <f>TEXT(Calls[[#This Row],[Date of Call]],"mmm")</f>
        <v>May</v>
      </c>
    </row>
    <row r="711" spans="1:12" x14ac:dyDescent="0.3">
      <c r="A711" t="s">
        <v>715</v>
      </c>
      <c r="B711" t="s">
        <v>1025</v>
      </c>
      <c r="C711">
        <v>122</v>
      </c>
      <c r="D711" t="s">
        <v>1029</v>
      </c>
      <c r="E711" t="s">
        <v>1174</v>
      </c>
      <c r="F711">
        <v>26</v>
      </c>
      <c r="G711">
        <v>2</v>
      </c>
      <c r="H711">
        <f>ROUND(Calls[[#This Row],[Satisfactory Rating]],0)</f>
        <v>2</v>
      </c>
      <c r="I711" t="str" cm="1">
        <f t="array" ref="I711">_xlfn.IFS(Calls[[#This Row],[Duration (Min)]]&lt;=30,"Under 30 mins",Calls[[#This Row],[Duration (Min)]]&lt;=60,"Under 1h",Calls[[#This Row],[Duration (Min)]]&lt;=120,"Under 2",TRUE,"More than 2h")</f>
        <v>More than 2h</v>
      </c>
      <c r="J711">
        <f>IF(MONTH(Calls[[#This Row],[Date of Call]])&lt;=3,YEAR(Calls[[#This Row],[Date of Call]]),YEAR(Calls[[#This Row],[Date of Call]])+1)</f>
        <v>2026</v>
      </c>
      <c r="K711" t="str">
        <f>TEXT(Calls[[#This Row],[Date of Call]],"dddd")</f>
        <v>Thursday</v>
      </c>
      <c r="L711" t="str">
        <f>TEXT(Calls[[#This Row],[Date of Call]],"mmm")</f>
        <v>May</v>
      </c>
    </row>
    <row r="712" spans="1:12" x14ac:dyDescent="0.3">
      <c r="A712" t="s">
        <v>716</v>
      </c>
      <c r="B712" t="s">
        <v>1024</v>
      </c>
      <c r="C712">
        <v>124</v>
      </c>
      <c r="D712" t="s">
        <v>1028</v>
      </c>
      <c r="E712" t="s">
        <v>1175</v>
      </c>
      <c r="F712">
        <v>74</v>
      </c>
      <c r="G712">
        <v>3.6</v>
      </c>
      <c r="H712">
        <f>ROUND(Calls[[#This Row],[Satisfactory Rating]],0)</f>
        <v>4</v>
      </c>
      <c r="I712" t="str" cm="1">
        <f t="array" ref="I712">_xlfn.IFS(Calls[[#This Row],[Duration (Min)]]&lt;=30,"Under 30 mins",Calls[[#This Row],[Duration (Min)]]&lt;=60,"Under 1h",Calls[[#This Row],[Duration (Min)]]&lt;=120,"Under 2",TRUE,"More than 2h")</f>
        <v>More than 2h</v>
      </c>
      <c r="J712">
        <f>IF(MONTH(Calls[[#This Row],[Date of Call]])&lt;=3,YEAR(Calls[[#This Row],[Date of Call]]),YEAR(Calls[[#This Row],[Date of Call]])+1)</f>
        <v>2026</v>
      </c>
      <c r="K712" t="str">
        <f>TEXT(Calls[[#This Row],[Date of Call]],"dddd")</f>
        <v>Friday</v>
      </c>
      <c r="L712" t="str">
        <f>TEXT(Calls[[#This Row],[Date of Call]],"mmm")</f>
        <v>May</v>
      </c>
    </row>
    <row r="713" spans="1:12" x14ac:dyDescent="0.3">
      <c r="A713" t="s">
        <v>717</v>
      </c>
      <c r="B713" t="s">
        <v>1013</v>
      </c>
      <c r="C713">
        <v>73</v>
      </c>
      <c r="D713" t="s">
        <v>1029</v>
      </c>
      <c r="E713" t="s">
        <v>1175</v>
      </c>
      <c r="F713">
        <v>132</v>
      </c>
      <c r="G713">
        <v>4.8</v>
      </c>
      <c r="H713">
        <f>ROUND(Calls[[#This Row],[Satisfactory Rating]],0)</f>
        <v>5</v>
      </c>
      <c r="I713" t="str" cm="1">
        <f t="array" ref="I713">_xlfn.IFS(Calls[[#This Row],[Duration (Min)]]&lt;=30,"Under 30 mins",Calls[[#This Row],[Duration (Min)]]&lt;=60,"Under 1h",Calls[[#This Row],[Duration (Min)]]&lt;=120,"Under 2",TRUE,"More than 2h")</f>
        <v>Under 2</v>
      </c>
      <c r="J713">
        <f>IF(MONTH(Calls[[#This Row],[Date of Call]])&lt;=3,YEAR(Calls[[#This Row],[Date of Call]]),YEAR(Calls[[#This Row],[Date of Call]])+1)</f>
        <v>2026</v>
      </c>
      <c r="K713" t="str">
        <f>TEXT(Calls[[#This Row],[Date of Call]],"dddd")</f>
        <v>Friday</v>
      </c>
      <c r="L713" t="str">
        <f>TEXT(Calls[[#This Row],[Date of Call]],"mmm")</f>
        <v>May</v>
      </c>
    </row>
    <row r="714" spans="1:12" x14ac:dyDescent="0.3">
      <c r="A714" t="s">
        <v>718</v>
      </c>
      <c r="B714" t="s">
        <v>1020</v>
      </c>
      <c r="C714">
        <v>86</v>
      </c>
      <c r="D714" t="s">
        <v>1026</v>
      </c>
      <c r="E714" t="s">
        <v>1175</v>
      </c>
      <c r="F714">
        <v>115</v>
      </c>
      <c r="G714">
        <v>3</v>
      </c>
      <c r="H714">
        <f>ROUND(Calls[[#This Row],[Satisfactory Rating]],0)</f>
        <v>3</v>
      </c>
      <c r="I714" t="str" cm="1">
        <f t="array" ref="I714">_xlfn.IFS(Calls[[#This Row],[Duration (Min)]]&lt;=30,"Under 30 mins",Calls[[#This Row],[Duration (Min)]]&lt;=60,"Under 1h",Calls[[#This Row],[Duration (Min)]]&lt;=120,"Under 2",TRUE,"More than 2h")</f>
        <v>Under 2</v>
      </c>
      <c r="J714">
        <f>IF(MONTH(Calls[[#This Row],[Date of Call]])&lt;=3,YEAR(Calls[[#This Row],[Date of Call]]),YEAR(Calls[[#This Row],[Date of Call]])+1)</f>
        <v>2026</v>
      </c>
      <c r="K714" t="str">
        <f>TEXT(Calls[[#This Row],[Date of Call]],"dddd")</f>
        <v>Friday</v>
      </c>
      <c r="L714" t="str">
        <f>TEXT(Calls[[#This Row],[Date of Call]],"mmm")</f>
        <v>May</v>
      </c>
    </row>
    <row r="715" spans="1:12" x14ac:dyDescent="0.3">
      <c r="A715" t="s">
        <v>719</v>
      </c>
      <c r="B715" t="s">
        <v>1013</v>
      </c>
      <c r="C715">
        <v>16</v>
      </c>
      <c r="D715" t="s">
        <v>1032</v>
      </c>
      <c r="E715" t="s">
        <v>1175</v>
      </c>
      <c r="F715">
        <v>70</v>
      </c>
      <c r="G715">
        <v>4.8</v>
      </c>
      <c r="H715">
        <f>ROUND(Calls[[#This Row],[Satisfactory Rating]],0)</f>
        <v>5</v>
      </c>
      <c r="I715" t="str" cm="1">
        <f t="array" ref="I715">_xlfn.IFS(Calls[[#This Row],[Duration (Min)]]&lt;=30,"Under 30 mins",Calls[[#This Row],[Duration (Min)]]&lt;=60,"Under 1h",Calls[[#This Row],[Duration (Min)]]&lt;=120,"Under 2",TRUE,"More than 2h")</f>
        <v>Under 30 mins</v>
      </c>
      <c r="J715">
        <f>IF(MONTH(Calls[[#This Row],[Date of Call]])&lt;=3,YEAR(Calls[[#This Row],[Date of Call]]),YEAR(Calls[[#This Row],[Date of Call]])+1)</f>
        <v>2026</v>
      </c>
      <c r="K715" t="str">
        <f>TEXT(Calls[[#This Row],[Date of Call]],"dddd")</f>
        <v>Friday</v>
      </c>
      <c r="L715" t="str">
        <f>TEXT(Calls[[#This Row],[Date of Call]],"mmm")</f>
        <v>May</v>
      </c>
    </row>
    <row r="716" spans="1:12" x14ac:dyDescent="0.3">
      <c r="A716" t="s">
        <v>720</v>
      </c>
      <c r="B716" t="s">
        <v>1008</v>
      </c>
      <c r="C716">
        <v>26</v>
      </c>
      <c r="D716" t="s">
        <v>1026</v>
      </c>
      <c r="E716" t="s">
        <v>1175</v>
      </c>
      <c r="F716">
        <v>53</v>
      </c>
      <c r="G716">
        <v>2.5</v>
      </c>
      <c r="H716">
        <f>ROUND(Calls[[#This Row],[Satisfactory Rating]],0)</f>
        <v>3</v>
      </c>
      <c r="I716" t="str" cm="1">
        <f t="array" ref="I716">_xlfn.IFS(Calls[[#This Row],[Duration (Min)]]&lt;=30,"Under 30 mins",Calls[[#This Row],[Duration (Min)]]&lt;=60,"Under 1h",Calls[[#This Row],[Duration (Min)]]&lt;=120,"Under 2",TRUE,"More than 2h")</f>
        <v>Under 30 mins</v>
      </c>
      <c r="J716">
        <f>IF(MONTH(Calls[[#This Row],[Date of Call]])&lt;=3,YEAR(Calls[[#This Row],[Date of Call]]),YEAR(Calls[[#This Row],[Date of Call]])+1)</f>
        <v>2026</v>
      </c>
      <c r="K716" t="str">
        <f>TEXT(Calls[[#This Row],[Date of Call]],"dddd")</f>
        <v>Friday</v>
      </c>
      <c r="L716" t="str">
        <f>TEXT(Calls[[#This Row],[Date of Call]],"mmm")</f>
        <v>May</v>
      </c>
    </row>
    <row r="717" spans="1:12" x14ac:dyDescent="0.3">
      <c r="A717" t="s">
        <v>721</v>
      </c>
      <c r="B717" t="s">
        <v>1010</v>
      </c>
      <c r="C717">
        <v>142</v>
      </c>
      <c r="D717" t="s">
        <v>1031</v>
      </c>
      <c r="E717" t="s">
        <v>1176</v>
      </c>
      <c r="F717">
        <v>115</v>
      </c>
      <c r="G717">
        <v>3</v>
      </c>
      <c r="H717">
        <f>ROUND(Calls[[#This Row],[Satisfactory Rating]],0)</f>
        <v>3</v>
      </c>
      <c r="I717" t="str" cm="1">
        <f t="array" ref="I717">_xlfn.IFS(Calls[[#This Row],[Duration (Min)]]&lt;=30,"Under 30 mins",Calls[[#This Row],[Duration (Min)]]&lt;=60,"Under 1h",Calls[[#This Row],[Duration (Min)]]&lt;=120,"Under 2",TRUE,"More than 2h")</f>
        <v>More than 2h</v>
      </c>
      <c r="J717">
        <f>IF(MONTH(Calls[[#This Row],[Date of Call]])&lt;=3,YEAR(Calls[[#This Row],[Date of Call]]),YEAR(Calls[[#This Row],[Date of Call]])+1)</f>
        <v>2026</v>
      </c>
      <c r="K717" t="str">
        <f>TEXT(Calls[[#This Row],[Date of Call]],"dddd")</f>
        <v>Saturday</v>
      </c>
      <c r="L717" t="str">
        <f>TEXT(Calls[[#This Row],[Date of Call]],"mmm")</f>
        <v>May</v>
      </c>
    </row>
    <row r="718" spans="1:12" x14ac:dyDescent="0.3">
      <c r="A718" t="s">
        <v>722</v>
      </c>
      <c r="B718" t="s">
        <v>1021</v>
      </c>
      <c r="C718">
        <v>50</v>
      </c>
      <c r="D718" t="s">
        <v>1031</v>
      </c>
      <c r="E718" t="s">
        <v>1176</v>
      </c>
      <c r="F718">
        <v>24</v>
      </c>
      <c r="G718">
        <v>1.3</v>
      </c>
      <c r="H718">
        <f>ROUND(Calls[[#This Row],[Satisfactory Rating]],0)</f>
        <v>1</v>
      </c>
      <c r="I718" t="str" cm="1">
        <f t="array" ref="I718">_xlfn.IFS(Calls[[#This Row],[Duration (Min)]]&lt;=30,"Under 30 mins",Calls[[#This Row],[Duration (Min)]]&lt;=60,"Under 1h",Calls[[#This Row],[Duration (Min)]]&lt;=120,"Under 2",TRUE,"More than 2h")</f>
        <v>Under 1h</v>
      </c>
      <c r="J718">
        <f>IF(MONTH(Calls[[#This Row],[Date of Call]])&lt;=3,YEAR(Calls[[#This Row],[Date of Call]]),YEAR(Calls[[#This Row],[Date of Call]])+1)</f>
        <v>2026</v>
      </c>
      <c r="K718" t="str">
        <f>TEXT(Calls[[#This Row],[Date of Call]],"dddd")</f>
        <v>Saturday</v>
      </c>
      <c r="L718" t="str">
        <f>TEXT(Calls[[#This Row],[Date of Call]],"mmm")</f>
        <v>May</v>
      </c>
    </row>
    <row r="719" spans="1:12" x14ac:dyDescent="0.3">
      <c r="A719" t="s">
        <v>723</v>
      </c>
      <c r="B719" t="s">
        <v>1013</v>
      </c>
      <c r="C719">
        <v>139</v>
      </c>
      <c r="D719" t="s">
        <v>1029</v>
      </c>
      <c r="E719" t="s">
        <v>1176</v>
      </c>
      <c r="F719">
        <v>24</v>
      </c>
      <c r="G719">
        <v>1.1000000000000001</v>
      </c>
      <c r="H719">
        <f>ROUND(Calls[[#This Row],[Satisfactory Rating]],0)</f>
        <v>1</v>
      </c>
      <c r="I719" t="str" cm="1">
        <f t="array" ref="I719">_xlfn.IFS(Calls[[#This Row],[Duration (Min)]]&lt;=30,"Under 30 mins",Calls[[#This Row],[Duration (Min)]]&lt;=60,"Under 1h",Calls[[#This Row],[Duration (Min)]]&lt;=120,"Under 2",TRUE,"More than 2h")</f>
        <v>More than 2h</v>
      </c>
      <c r="J719">
        <f>IF(MONTH(Calls[[#This Row],[Date of Call]])&lt;=3,YEAR(Calls[[#This Row],[Date of Call]]),YEAR(Calls[[#This Row],[Date of Call]])+1)</f>
        <v>2026</v>
      </c>
      <c r="K719" t="str">
        <f>TEXT(Calls[[#This Row],[Date of Call]],"dddd")</f>
        <v>Saturday</v>
      </c>
      <c r="L719" t="str">
        <f>TEXT(Calls[[#This Row],[Date of Call]],"mmm")</f>
        <v>May</v>
      </c>
    </row>
    <row r="720" spans="1:12" x14ac:dyDescent="0.3">
      <c r="A720" t="s">
        <v>724</v>
      </c>
      <c r="B720" t="s">
        <v>1015</v>
      </c>
      <c r="C720">
        <v>58</v>
      </c>
      <c r="D720" t="s">
        <v>1032</v>
      </c>
      <c r="E720" t="s">
        <v>1176</v>
      </c>
      <c r="F720">
        <v>62</v>
      </c>
      <c r="G720">
        <v>1.2</v>
      </c>
      <c r="H720">
        <f>ROUND(Calls[[#This Row],[Satisfactory Rating]],0)</f>
        <v>1</v>
      </c>
      <c r="I720" t="str" cm="1">
        <f t="array" ref="I720">_xlfn.IFS(Calls[[#This Row],[Duration (Min)]]&lt;=30,"Under 30 mins",Calls[[#This Row],[Duration (Min)]]&lt;=60,"Under 1h",Calls[[#This Row],[Duration (Min)]]&lt;=120,"Under 2",TRUE,"More than 2h")</f>
        <v>Under 1h</v>
      </c>
      <c r="J720">
        <f>IF(MONTH(Calls[[#This Row],[Date of Call]])&lt;=3,YEAR(Calls[[#This Row],[Date of Call]]),YEAR(Calls[[#This Row],[Date of Call]])+1)</f>
        <v>2026</v>
      </c>
      <c r="K720" t="str">
        <f>TEXT(Calls[[#This Row],[Date of Call]],"dddd")</f>
        <v>Saturday</v>
      </c>
      <c r="L720" t="str">
        <f>TEXT(Calls[[#This Row],[Date of Call]],"mmm")</f>
        <v>May</v>
      </c>
    </row>
    <row r="721" spans="1:12" x14ac:dyDescent="0.3">
      <c r="A721" t="s">
        <v>725</v>
      </c>
      <c r="B721" t="s">
        <v>1010</v>
      </c>
      <c r="C721">
        <v>114</v>
      </c>
      <c r="D721" t="s">
        <v>1028</v>
      </c>
      <c r="E721" t="s">
        <v>1176</v>
      </c>
      <c r="F721">
        <v>112</v>
      </c>
      <c r="G721">
        <v>3.7</v>
      </c>
      <c r="H721">
        <f>ROUND(Calls[[#This Row],[Satisfactory Rating]],0)</f>
        <v>4</v>
      </c>
      <c r="I721" t="str" cm="1">
        <f t="array" ref="I721">_xlfn.IFS(Calls[[#This Row],[Duration (Min)]]&lt;=30,"Under 30 mins",Calls[[#This Row],[Duration (Min)]]&lt;=60,"Under 1h",Calls[[#This Row],[Duration (Min)]]&lt;=120,"Under 2",TRUE,"More than 2h")</f>
        <v>Under 2</v>
      </c>
      <c r="J721">
        <f>IF(MONTH(Calls[[#This Row],[Date of Call]])&lt;=3,YEAR(Calls[[#This Row],[Date of Call]]),YEAR(Calls[[#This Row],[Date of Call]])+1)</f>
        <v>2026</v>
      </c>
      <c r="K721" t="str">
        <f>TEXT(Calls[[#This Row],[Date of Call]],"dddd")</f>
        <v>Saturday</v>
      </c>
      <c r="L721" t="str">
        <f>TEXT(Calls[[#This Row],[Date of Call]],"mmm")</f>
        <v>May</v>
      </c>
    </row>
    <row r="722" spans="1:12" x14ac:dyDescent="0.3">
      <c r="A722" t="s">
        <v>726</v>
      </c>
      <c r="B722" t="s">
        <v>1024</v>
      </c>
      <c r="C722">
        <v>122</v>
      </c>
      <c r="D722" t="s">
        <v>1028</v>
      </c>
      <c r="E722" t="s">
        <v>1177</v>
      </c>
      <c r="F722">
        <v>84</v>
      </c>
      <c r="G722">
        <v>4.9000000000000004</v>
      </c>
      <c r="H722">
        <f>ROUND(Calls[[#This Row],[Satisfactory Rating]],0)</f>
        <v>5</v>
      </c>
      <c r="I722" t="str" cm="1">
        <f t="array" ref="I722">_xlfn.IFS(Calls[[#This Row],[Duration (Min)]]&lt;=30,"Under 30 mins",Calls[[#This Row],[Duration (Min)]]&lt;=60,"Under 1h",Calls[[#This Row],[Duration (Min)]]&lt;=120,"Under 2",TRUE,"More than 2h")</f>
        <v>More than 2h</v>
      </c>
      <c r="J722">
        <f>IF(MONTH(Calls[[#This Row],[Date of Call]])&lt;=3,YEAR(Calls[[#This Row],[Date of Call]]),YEAR(Calls[[#This Row],[Date of Call]])+1)</f>
        <v>2026</v>
      </c>
      <c r="K722" t="str">
        <f>TEXT(Calls[[#This Row],[Date of Call]],"dddd")</f>
        <v>Sunday</v>
      </c>
      <c r="L722" t="str">
        <f>TEXT(Calls[[#This Row],[Date of Call]],"mmm")</f>
        <v>May</v>
      </c>
    </row>
    <row r="723" spans="1:12" x14ac:dyDescent="0.3">
      <c r="A723" t="s">
        <v>727</v>
      </c>
      <c r="B723" t="s">
        <v>1006</v>
      </c>
      <c r="C723">
        <v>137</v>
      </c>
      <c r="D723" t="s">
        <v>1028</v>
      </c>
      <c r="E723" t="s">
        <v>1177</v>
      </c>
      <c r="F723">
        <v>27</v>
      </c>
      <c r="G723">
        <v>2.1</v>
      </c>
      <c r="H723">
        <f>ROUND(Calls[[#This Row],[Satisfactory Rating]],0)</f>
        <v>2</v>
      </c>
      <c r="I723" t="str" cm="1">
        <f t="array" ref="I723">_xlfn.IFS(Calls[[#This Row],[Duration (Min)]]&lt;=30,"Under 30 mins",Calls[[#This Row],[Duration (Min)]]&lt;=60,"Under 1h",Calls[[#This Row],[Duration (Min)]]&lt;=120,"Under 2",TRUE,"More than 2h")</f>
        <v>More than 2h</v>
      </c>
      <c r="J723">
        <f>IF(MONTH(Calls[[#This Row],[Date of Call]])&lt;=3,YEAR(Calls[[#This Row],[Date of Call]]),YEAR(Calls[[#This Row],[Date of Call]])+1)</f>
        <v>2026</v>
      </c>
      <c r="K723" t="str">
        <f>TEXT(Calls[[#This Row],[Date of Call]],"dddd")</f>
        <v>Sunday</v>
      </c>
      <c r="L723" t="str">
        <f>TEXT(Calls[[#This Row],[Date of Call]],"mmm")</f>
        <v>May</v>
      </c>
    </row>
    <row r="724" spans="1:12" x14ac:dyDescent="0.3">
      <c r="A724" t="s">
        <v>728</v>
      </c>
      <c r="B724" t="s">
        <v>1014</v>
      </c>
      <c r="C724">
        <v>75</v>
      </c>
      <c r="D724" t="s">
        <v>1031</v>
      </c>
      <c r="E724" t="s">
        <v>1177</v>
      </c>
      <c r="F724">
        <v>36</v>
      </c>
      <c r="G724">
        <v>3.5</v>
      </c>
      <c r="H724">
        <f>ROUND(Calls[[#This Row],[Satisfactory Rating]],0)</f>
        <v>4</v>
      </c>
      <c r="I724" t="str" cm="1">
        <f t="array" ref="I724">_xlfn.IFS(Calls[[#This Row],[Duration (Min)]]&lt;=30,"Under 30 mins",Calls[[#This Row],[Duration (Min)]]&lt;=60,"Under 1h",Calls[[#This Row],[Duration (Min)]]&lt;=120,"Under 2",TRUE,"More than 2h")</f>
        <v>Under 2</v>
      </c>
      <c r="J724">
        <f>IF(MONTH(Calls[[#This Row],[Date of Call]])&lt;=3,YEAR(Calls[[#This Row],[Date of Call]]),YEAR(Calls[[#This Row],[Date of Call]])+1)</f>
        <v>2026</v>
      </c>
      <c r="K724" t="str">
        <f>TEXT(Calls[[#This Row],[Date of Call]],"dddd")</f>
        <v>Sunday</v>
      </c>
      <c r="L724" t="str">
        <f>TEXT(Calls[[#This Row],[Date of Call]],"mmm")</f>
        <v>May</v>
      </c>
    </row>
    <row r="725" spans="1:12" x14ac:dyDescent="0.3">
      <c r="A725" t="s">
        <v>729</v>
      </c>
      <c r="B725" t="s">
        <v>1015</v>
      </c>
      <c r="C725">
        <v>79</v>
      </c>
      <c r="D725" t="s">
        <v>1026</v>
      </c>
      <c r="E725" t="s">
        <v>1177</v>
      </c>
      <c r="F725">
        <v>53</v>
      </c>
      <c r="G725">
        <v>2.6</v>
      </c>
      <c r="H725">
        <f>ROUND(Calls[[#This Row],[Satisfactory Rating]],0)</f>
        <v>3</v>
      </c>
      <c r="I725" t="str" cm="1">
        <f t="array" ref="I725">_xlfn.IFS(Calls[[#This Row],[Duration (Min)]]&lt;=30,"Under 30 mins",Calls[[#This Row],[Duration (Min)]]&lt;=60,"Under 1h",Calls[[#This Row],[Duration (Min)]]&lt;=120,"Under 2",TRUE,"More than 2h")</f>
        <v>Under 2</v>
      </c>
      <c r="J725">
        <f>IF(MONTH(Calls[[#This Row],[Date of Call]])&lt;=3,YEAR(Calls[[#This Row],[Date of Call]]),YEAR(Calls[[#This Row],[Date of Call]])+1)</f>
        <v>2026</v>
      </c>
      <c r="K725" t="str">
        <f>TEXT(Calls[[#This Row],[Date of Call]],"dddd")</f>
        <v>Sunday</v>
      </c>
      <c r="L725" t="str">
        <f>TEXT(Calls[[#This Row],[Date of Call]],"mmm")</f>
        <v>May</v>
      </c>
    </row>
    <row r="726" spans="1:12" x14ac:dyDescent="0.3">
      <c r="A726" t="s">
        <v>730</v>
      </c>
      <c r="B726" t="s">
        <v>1021</v>
      </c>
      <c r="C726">
        <v>34</v>
      </c>
      <c r="D726" t="s">
        <v>1026</v>
      </c>
      <c r="E726" t="s">
        <v>1177</v>
      </c>
      <c r="F726">
        <v>101</v>
      </c>
      <c r="G726">
        <v>1.7</v>
      </c>
      <c r="H726">
        <f>ROUND(Calls[[#This Row],[Satisfactory Rating]],0)</f>
        <v>2</v>
      </c>
      <c r="I726" t="str" cm="1">
        <f t="array" ref="I726">_xlfn.IFS(Calls[[#This Row],[Duration (Min)]]&lt;=30,"Under 30 mins",Calls[[#This Row],[Duration (Min)]]&lt;=60,"Under 1h",Calls[[#This Row],[Duration (Min)]]&lt;=120,"Under 2",TRUE,"More than 2h")</f>
        <v>Under 1h</v>
      </c>
      <c r="J726">
        <f>IF(MONTH(Calls[[#This Row],[Date of Call]])&lt;=3,YEAR(Calls[[#This Row],[Date of Call]]),YEAR(Calls[[#This Row],[Date of Call]])+1)</f>
        <v>2026</v>
      </c>
      <c r="K726" t="str">
        <f>TEXT(Calls[[#This Row],[Date of Call]],"dddd")</f>
        <v>Sunday</v>
      </c>
      <c r="L726" t="str">
        <f>TEXT(Calls[[#This Row],[Date of Call]],"mmm")</f>
        <v>May</v>
      </c>
    </row>
    <row r="727" spans="1:12" x14ac:dyDescent="0.3">
      <c r="A727" t="s">
        <v>731</v>
      </c>
      <c r="B727" t="s">
        <v>1024</v>
      </c>
      <c r="C727">
        <v>56</v>
      </c>
      <c r="D727" t="s">
        <v>1030</v>
      </c>
      <c r="E727" t="s">
        <v>1178</v>
      </c>
      <c r="F727">
        <v>42</v>
      </c>
      <c r="G727">
        <v>1.4</v>
      </c>
      <c r="H727">
        <f>ROUND(Calls[[#This Row],[Satisfactory Rating]],0)</f>
        <v>1</v>
      </c>
      <c r="I727" t="str" cm="1">
        <f t="array" ref="I727">_xlfn.IFS(Calls[[#This Row],[Duration (Min)]]&lt;=30,"Under 30 mins",Calls[[#This Row],[Duration (Min)]]&lt;=60,"Under 1h",Calls[[#This Row],[Duration (Min)]]&lt;=120,"Under 2",TRUE,"More than 2h")</f>
        <v>Under 1h</v>
      </c>
      <c r="J727">
        <f>IF(MONTH(Calls[[#This Row],[Date of Call]])&lt;=3,YEAR(Calls[[#This Row],[Date of Call]]),YEAR(Calls[[#This Row],[Date of Call]])+1)</f>
        <v>2026</v>
      </c>
      <c r="K727" t="str">
        <f>TEXT(Calls[[#This Row],[Date of Call]],"dddd")</f>
        <v>Monday</v>
      </c>
      <c r="L727" t="str">
        <f>TEXT(Calls[[#This Row],[Date of Call]],"mmm")</f>
        <v>May</v>
      </c>
    </row>
    <row r="728" spans="1:12" x14ac:dyDescent="0.3">
      <c r="A728" t="s">
        <v>732</v>
      </c>
      <c r="B728" t="s">
        <v>1009</v>
      </c>
      <c r="C728">
        <v>109</v>
      </c>
      <c r="D728" t="s">
        <v>1030</v>
      </c>
      <c r="E728" t="s">
        <v>1178</v>
      </c>
      <c r="F728">
        <v>117</v>
      </c>
      <c r="G728">
        <v>2.8</v>
      </c>
      <c r="H728">
        <f>ROUND(Calls[[#This Row],[Satisfactory Rating]],0)</f>
        <v>3</v>
      </c>
      <c r="I728" t="str" cm="1">
        <f t="array" ref="I728">_xlfn.IFS(Calls[[#This Row],[Duration (Min)]]&lt;=30,"Under 30 mins",Calls[[#This Row],[Duration (Min)]]&lt;=60,"Under 1h",Calls[[#This Row],[Duration (Min)]]&lt;=120,"Under 2",TRUE,"More than 2h")</f>
        <v>Under 2</v>
      </c>
      <c r="J728">
        <f>IF(MONTH(Calls[[#This Row],[Date of Call]])&lt;=3,YEAR(Calls[[#This Row],[Date of Call]]),YEAR(Calls[[#This Row],[Date of Call]])+1)</f>
        <v>2026</v>
      </c>
      <c r="K728" t="str">
        <f>TEXT(Calls[[#This Row],[Date of Call]],"dddd")</f>
        <v>Monday</v>
      </c>
      <c r="L728" t="str">
        <f>TEXT(Calls[[#This Row],[Date of Call]],"mmm")</f>
        <v>May</v>
      </c>
    </row>
    <row r="729" spans="1:12" x14ac:dyDescent="0.3">
      <c r="A729" t="s">
        <v>733</v>
      </c>
      <c r="B729" t="s">
        <v>1011</v>
      </c>
      <c r="C729">
        <v>79</v>
      </c>
      <c r="D729" t="s">
        <v>1026</v>
      </c>
      <c r="E729" t="s">
        <v>1178</v>
      </c>
      <c r="F729">
        <v>129</v>
      </c>
      <c r="G729">
        <v>1.9</v>
      </c>
      <c r="H729">
        <f>ROUND(Calls[[#This Row],[Satisfactory Rating]],0)</f>
        <v>2</v>
      </c>
      <c r="I729" t="str" cm="1">
        <f t="array" ref="I729">_xlfn.IFS(Calls[[#This Row],[Duration (Min)]]&lt;=30,"Under 30 mins",Calls[[#This Row],[Duration (Min)]]&lt;=60,"Under 1h",Calls[[#This Row],[Duration (Min)]]&lt;=120,"Under 2",TRUE,"More than 2h")</f>
        <v>Under 2</v>
      </c>
      <c r="J729">
        <f>IF(MONTH(Calls[[#This Row],[Date of Call]])&lt;=3,YEAR(Calls[[#This Row],[Date of Call]]),YEAR(Calls[[#This Row],[Date of Call]])+1)</f>
        <v>2026</v>
      </c>
      <c r="K729" t="str">
        <f>TEXT(Calls[[#This Row],[Date of Call]],"dddd")</f>
        <v>Monday</v>
      </c>
      <c r="L729" t="str">
        <f>TEXT(Calls[[#This Row],[Date of Call]],"mmm")</f>
        <v>May</v>
      </c>
    </row>
    <row r="730" spans="1:12" x14ac:dyDescent="0.3">
      <c r="A730" t="s">
        <v>734</v>
      </c>
      <c r="B730" t="s">
        <v>1019</v>
      </c>
      <c r="C730">
        <v>130</v>
      </c>
      <c r="D730" t="s">
        <v>1029</v>
      </c>
      <c r="E730" t="s">
        <v>1178</v>
      </c>
      <c r="F730">
        <v>48</v>
      </c>
      <c r="G730">
        <v>4.8</v>
      </c>
      <c r="H730">
        <f>ROUND(Calls[[#This Row],[Satisfactory Rating]],0)</f>
        <v>5</v>
      </c>
      <c r="I730" t="str" cm="1">
        <f t="array" ref="I730">_xlfn.IFS(Calls[[#This Row],[Duration (Min)]]&lt;=30,"Under 30 mins",Calls[[#This Row],[Duration (Min)]]&lt;=60,"Under 1h",Calls[[#This Row],[Duration (Min)]]&lt;=120,"Under 2",TRUE,"More than 2h")</f>
        <v>More than 2h</v>
      </c>
      <c r="J730">
        <f>IF(MONTH(Calls[[#This Row],[Date of Call]])&lt;=3,YEAR(Calls[[#This Row],[Date of Call]]),YEAR(Calls[[#This Row],[Date of Call]])+1)</f>
        <v>2026</v>
      </c>
      <c r="K730" t="str">
        <f>TEXT(Calls[[#This Row],[Date of Call]],"dddd")</f>
        <v>Monday</v>
      </c>
      <c r="L730" t="str">
        <f>TEXT(Calls[[#This Row],[Date of Call]],"mmm")</f>
        <v>May</v>
      </c>
    </row>
    <row r="731" spans="1:12" x14ac:dyDescent="0.3">
      <c r="A731" t="s">
        <v>735</v>
      </c>
      <c r="B731" t="s">
        <v>1006</v>
      </c>
      <c r="C731">
        <v>112</v>
      </c>
      <c r="D731" t="s">
        <v>1028</v>
      </c>
      <c r="E731" t="s">
        <v>1178</v>
      </c>
      <c r="F731">
        <v>49</v>
      </c>
      <c r="G731">
        <v>2.5</v>
      </c>
      <c r="H731">
        <f>ROUND(Calls[[#This Row],[Satisfactory Rating]],0)</f>
        <v>3</v>
      </c>
      <c r="I731" t="str" cm="1">
        <f t="array" ref="I731">_xlfn.IFS(Calls[[#This Row],[Duration (Min)]]&lt;=30,"Under 30 mins",Calls[[#This Row],[Duration (Min)]]&lt;=60,"Under 1h",Calls[[#This Row],[Duration (Min)]]&lt;=120,"Under 2",TRUE,"More than 2h")</f>
        <v>Under 2</v>
      </c>
      <c r="J731">
        <f>IF(MONTH(Calls[[#This Row],[Date of Call]])&lt;=3,YEAR(Calls[[#This Row],[Date of Call]]),YEAR(Calls[[#This Row],[Date of Call]])+1)</f>
        <v>2026</v>
      </c>
      <c r="K731" t="str">
        <f>TEXT(Calls[[#This Row],[Date of Call]],"dddd")</f>
        <v>Monday</v>
      </c>
      <c r="L731" t="str">
        <f>TEXT(Calls[[#This Row],[Date of Call]],"mmm")</f>
        <v>May</v>
      </c>
    </row>
    <row r="732" spans="1:12" x14ac:dyDescent="0.3">
      <c r="A732" t="s">
        <v>736</v>
      </c>
      <c r="B732" t="s">
        <v>1023</v>
      </c>
      <c r="C732">
        <v>43</v>
      </c>
      <c r="D732" t="s">
        <v>1030</v>
      </c>
      <c r="E732" t="s">
        <v>1179</v>
      </c>
      <c r="F732">
        <v>89</v>
      </c>
      <c r="G732">
        <v>1.5</v>
      </c>
      <c r="H732">
        <f>ROUND(Calls[[#This Row],[Satisfactory Rating]],0)</f>
        <v>2</v>
      </c>
      <c r="I732" t="str" cm="1">
        <f t="array" ref="I732">_xlfn.IFS(Calls[[#This Row],[Duration (Min)]]&lt;=30,"Under 30 mins",Calls[[#This Row],[Duration (Min)]]&lt;=60,"Under 1h",Calls[[#This Row],[Duration (Min)]]&lt;=120,"Under 2",TRUE,"More than 2h")</f>
        <v>Under 1h</v>
      </c>
      <c r="J732">
        <f>IF(MONTH(Calls[[#This Row],[Date of Call]])&lt;=3,YEAR(Calls[[#This Row],[Date of Call]]),YEAR(Calls[[#This Row],[Date of Call]])+1)</f>
        <v>2026</v>
      </c>
      <c r="K732" t="str">
        <f>TEXT(Calls[[#This Row],[Date of Call]],"dddd")</f>
        <v>Tuesday</v>
      </c>
      <c r="L732" t="str">
        <f>TEXT(Calls[[#This Row],[Date of Call]],"mmm")</f>
        <v>May</v>
      </c>
    </row>
    <row r="733" spans="1:12" x14ac:dyDescent="0.3">
      <c r="A733" t="s">
        <v>737</v>
      </c>
      <c r="B733" t="s">
        <v>1012</v>
      </c>
      <c r="C733">
        <v>65</v>
      </c>
      <c r="D733" t="s">
        <v>1029</v>
      </c>
      <c r="E733" t="s">
        <v>1179</v>
      </c>
      <c r="F733">
        <v>77</v>
      </c>
      <c r="G733">
        <v>1.2</v>
      </c>
      <c r="H733">
        <f>ROUND(Calls[[#This Row],[Satisfactory Rating]],0)</f>
        <v>1</v>
      </c>
      <c r="I733" t="str" cm="1">
        <f t="array" ref="I733">_xlfn.IFS(Calls[[#This Row],[Duration (Min)]]&lt;=30,"Under 30 mins",Calls[[#This Row],[Duration (Min)]]&lt;=60,"Under 1h",Calls[[#This Row],[Duration (Min)]]&lt;=120,"Under 2",TRUE,"More than 2h")</f>
        <v>Under 2</v>
      </c>
      <c r="J733">
        <f>IF(MONTH(Calls[[#This Row],[Date of Call]])&lt;=3,YEAR(Calls[[#This Row],[Date of Call]]),YEAR(Calls[[#This Row],[Date of Call]])+1)</f>
        <v>2026</v>
      </c>
      <c r="K733" t="str">
        <f>TEXT(Calls[[#This Row],[Date of Call]],"dddd")</f>
        <v>Tuesday</v>
      </c>
      <c r="L733" t="str">
        <f>TEXT(Calls[[#This Row],[Date of Call]],"mmm")</f>
        <v>May</v>
      </c>
    </row>
    <row r="734" spans="1:12" x14ac:dyDescent="0.3">
      <c r="A734" t="s">
        <v>738</v>
      </c>
      <c r="B734" t="s">
        <v>1006</v>
      </c>
      <c r="C734">
        <v>41</v>
      </c>
      <c r="D734" t="s">
        <v>1028</v>
      </c>
      <c r="E734" t="s">
        <v>1179</v>
      </c>
      <c r="F734">
        <v>148</v>
      </c>
      <c r="G734">
        <v>3.8</v>
      </c>
      <c r="H734">
        <f>ROUND(Calls[[#This Row],[Satisfactory Rating]],0)</f>
        <v>4</v>
      </c>
      <c r="I734" t="str" cm="1">
        <f t="array" ref="I734">_xlfn.IFS(Calls[[#This Row],[Duration (Min)]]&lt;=30,"Under 30 mins",Calls[[#This Row],[Duration (Min)]]&lt;=60,"Under 1h",Calls[[#This Row],[Duration (Min)]]&lt;=120,"Under 2",TRUE,"More than 2h")</f>
        <v>Under 1h</v>
      </c>
      <c r="J734">
        <f>IF(MONTH(Calls[[#This Row],[Date of Call]])&lt;=3,YEAR(Calls[[#This Row],[Date of Call]]),YEAR(Calls[[#This Row],[Date of Call]])+1)</f>
        <v>2026</v>
      </c>
      <c r="K734" t="str">
        <f>TEXT(Calls[[#This Row],[Date of Call]],"dddd")</f>
        <v>Tuesday</v>
      </c>
      <c r="L734" t="str">
        <f>TEXT(Calls[[#This Row],[Date of Call]],"mmm")</f>
        <v>May</v>
      </c>
    </row>
    <row r="735" spans="1:12" x14ac:dyDescent="0.3">
      <c r="A735" t="s">
        <v>739</v>
      </c>
      <c r="B735" t="s">
        <v>1018</v>
      </c>
      <c r="C735">
        <v>42</v>
      </c>
      <c r="D735" t="s">
        <v>1030</v>
      </c>
      <c r="E735" t="s">
        <v>1179</v>
      </c>
      <c r="F735">
        <v>148</v>
      </c>
      <c r="G735">
        <v>2.4</v>
      </c>
      <c r="H735">
        <f>ROUND(Calls[[#This Row],[Satisfactory Rating]],0)</f>
        <v>2</v>
      </c>
      <c r="I735" t="str" cm="1">
        <f t="array" ref="I735">_xlfn.IFS(Calls[[#This Row],[Duration (Min)]]&lt;=30,"Under 30 mins",Calls[[#This Row],[Duration (Min)]]&lt;=60,"Under 1h",Calls[[#This Row],[Duration (Min)]]&lt;=120,"Under 2",TRUE,"More than 2h")</f>
        <v>Under 1h</v>
      </c>
      <c r="J735">
        <f>IF(MONTH(Calls[[#This Row],[Date of Call]])&lt;=3,YEAR(Calls[[#This Row],[Date of Call]]),YEAR(Calls[[#This Row],[Date of Call]])+1)</f>
        <v>2026</v>
      </c>
      <c r="K735" t="str">
        <f>TEXT(Calls[[#This Row],[Date of Call]],"dddd")</f>
        <v>Tuesday</v>
      </c>
      <c r="L735" t="str">
        <f>TEXT(Calls[[#This Row],[Date of Call]],"mmm")</f>
        <v>May</v>
      </c>
    </row>
    <row r="736" spans="1:12" x14ac:dyDescent="0.3">
      <c r="A736" t="s">
        <v>740</v>
      </c>
      <c r="B736" t="s">
        <v>1011</v>
      </c>
      <c r="C736">
        <v>148</v>
      </c>
      <c r="D736" t="s">
        <v>1026</v>
      </c>
      <c r="E736" t="s">
        <v>1179</v>
      </c>
      <c r="F736">
        <v>112</v>
      </c>
      <c r="G736">
        <v>2</v>
      </c>
      <c r="H736">
        <f>ROUND(Calls[[#This Row],[Satisfactory Rating]],0)</f>
        <v>2</v>
      </c>
      <c r="I736" t="str" cm="1">
        <f t="array" ref="I736">_xlfn.IFS(Calls[[#This Row],[Duration (Min)]]&lt;=30,"Under 30 mins",Calls[[#This Row],[Duration (Min)]]&lt;=60,"Under 1h",Calls[[#This Row],[Duration (Min)]]&lt;=120,"Under 2",TRUE,"More than 2h")</f>
        <v>More than 2h</v>
      </c>
      <c r="J736">
        <f>IF(MONTH(Calls[[#This Row],[Date of Call]])&lt;=3,YEAR(Calls[[#This Row],[Date of Call]]),YEAR(Calls[[#This Row],[Date of Call]])+1)</f>
        <v>2026</v>
      </c>
      <c r="K736" t="str">
        <f>TEXT(Calls[[#This Row],[Date of Call]],"dddd")</f>
        <v>Tuesday</v>
      </c>
      <c r="L736" t="str">
        <f>TEXT(Calls[[#This Row],[Date of Call]],"mmm")</f>
        <v>May</v>
      </c>
    </row>
    <row r="737" spans="1:12" x14ac:dyDescent="0.3">
      <c r="A737" t="s">
        <v>741</v>
      </c>
      <c r="B737" t="s">
        <v>1015</v>
      </c>
      <c r="C737">
        <v>52</v>
      </c>
      <c r="D737" t="s">
        <v>1031</v>
      </c>
      <c r="E737" t="s">
        <v>1180</v>
      </c>
      <c r="F737">
        <v>143</v>
      </c>
      <c r="G737">
        <v>1.1000000000000001</v>
      </c>
      <c r="H737">
        <f>ROUND(Calls[[#This Row],[Satisfactory Rating]],0)</f>
        <v>1</v>
      </c>
      <c r="I737" t="str" cm="1">
        <f t="array" ref="I737">_xlfn.IFS(Calls[[#This Row],[Duration (Min)]]&lt;=30,"Under 30 mins",Calls[[#This Row],[Duration (Min)]]&lt;=60,"Under 1h",Calls[[#This Row],[Duration (Min)]]&lt;=120,"Under 2",TRUE,"More than 2h")</f>
        <v>Under 1h</v>
      </c>
      <c r="J737">
        <f>IF(MONTH(Calls[[#This Row],[Date of Call]])&lt;=3,YEAR(Calls[[#This Row],[Date of Call]]),YEAR(Calls[[#This Row],[Date of Call]])+1)</f>
        <v>2026</v>
      </c>
      <c r="K737" t="str">
        <f>TEXT(Calls[[#This Row],[Date of Call]],"dddd")</f>
        <v>Wednesday</v>
      </c>
      <c r="L737" t="str">
        <f>TEXT(Calls[[#This Row],[Date of Call]],"mmm")</f>
        <v>May</v>
      </c>
    </row>
    <row r="738" spans="1:12" x14ac:dyDescent="0.3">
      <c r="A738" t="s">
        <v>742</v>
      </c>
      <c r="B738" t="s">
        <v>1009</v>
      </c>
      <c r="C738">
        <v>69</v>
      </c>
      <c r="D738" t="s">
        <v>1031</v>
      </c>
      <c r="E738" t="s">
        <v>1180</v>
      </c>
      <c r="F738">
        <v>65</v>
      </c>
      <c r="G738">
        <v>1.1000000000000001</v>
      </c>
      <c r="H738">
        <f>ROUND(Calls[[#This Row],[Satisfactory Rating]],0)</f>
        <v>1</v>
      </c>
      <c r="I738" t="str" cm="1">
        <f t="array" ref="I738">_xlfn.IFS(Calls[[#This Row],[Duration (Min)]]&lt;=30,"Under 30 mins",Calls[[#This Row],[Duration (Min)]]&lt;=60,"Under 1h",Calls[[#This Row],[Duration (Min)]]&lt;=120,"Under 2",TRUE,"More than 2h")</f>
        <v>Under 2</v>
      </c>
      <c r="J738">
        <f>IF(MONTH(Calls[[#This Row],[Date of Call]])&lt;=3,YEAR(Calls[[#This Row],[Date of Call]]),YEAR(Calls[[#This Row],[Date of Call]])+1)</f>
        <v>2026</v>
      </c>
      <c r="K738" t="str">
        <f>TEXT(Calls[[#This Row],[Date of Call]],"dddd")</f>
        <v>Wednesday</v>
      </c>
      <c r="L738" t="str">
        <f>TEXT(Calls[[#This Row],[Date of Call]],"mmm")</f>
        <v>May</v>
      </c>
    </row>
    <row r="739" spans="1:12" x14ac:dyDescent="0.3">
      <c r="A739" t="s">
        <v>743</v>
      </c>
      <c r="B739" t="s">
        <v>1017</v>
      </c>
      <c r="C739">
        <v>26</v>
      </c>
      <c r="D739" t="s">
        <v>1030</v>
      </c>
      <c r="E739" t="s">
        <v>1180</v>
      </c>
      <c r="F739">
        <v>118</v>
      </c>
      <c r="G739">
        <v>4.5</v>
      </c>
      <c r="H739">
        <f>ROUND(Calls[[#This Row],[Satisfactory Rating]],0)</f>
        <v>5</v>
      </c>
      <c r="I739" t="str" cm="1">
        <f t="array" ref="I739">_xlfn.IFS(Calls[[#This Row],[Duration (Min)]]&lt;=30,"Under 30 mins",Calls[[#This Row],[Duration (Min)]]&lt;=60,"Under 1h",Calls[[#This Row],[Duration (Min)]]&lt;=120,"Under 2",TRUE,"More than 2h")</f>
        <v>Under 30 mins</v>
      </c>
      <c r="J739">
        <f>IF(MONTH(Calls[[#This Row],[Date of Call]])&lt;=3,YEAR(Calls[[#This Row],[Date of Call]]),YEAR(Calls[[#This Row],[Date of Call]])+1)</f>
        <v>2026</v>
      </c>
      <c r="K739" t="str">
        <f>TEXT(Calls[[#This Row],[Date of Call]],"dddd")</f>
        <v>Wednesday</v>
      </c>
      <c r="L739" t="str">
        <f>TEXT(Calls[[#This Row],[Date of Call]],"mmm")</f>
        <v>May</v>
      </c>
    </row>
    <row r="740" spans="1:12" x14ac:dyDescent="0.3">
      <c r="A740" t="s">
        <v>744</v>
      </c>
      <c r="B740" t="s">
        <v>1011</v>
      </c>
      <c r="C740">
        <v>141</v>
      </c>
      <c r="D740" t="s">
        <v>1027</v>
      </c>
      <c r="E740" t="s">
        <v>1180</v>
      </c>
      <c r="F740">
        <v>64</v>
      </c>
      <c r="G740">
        <v>2.5</v>
      </c>
      <c r="H740">
        <f>ROUND(Calls[[#This Row],[Satisfactory Rating]],0)</f>
        <v>3</v>
      </c>
      <c r="I740" t="str" cm="1">
        <f t="array" ref="I740">_xlfn.IFS(Calls[[#This Row],[Duration (Min)]]&lt;=30,"Under 30 mins",Calls[[#This Row],[Duration (Min)]]&lt;=60,"Under 1h",Calls[[#This Row],[Duration (Min)]]&lt;=120,"Under 2",TRUE,"More than 2h")</f>
        <v>More than 2h</v>
      </c>
      <c r="J740">
        <f>IF(MONTH(Calls[[#This Row],[Date of Call]])&lt;=3,YEAR(Calls[[#This Row],[Date of Call]]),YEAR(Calls[[#This Row],[Date of Call]])+1)</f>
        <v>2026</v>
      </c>
      <c r="K740" t="str">
        <f>TEXT(Calls[[#This Row],[Date of Call]],"dddd")</f>
        <v>Wednesday</v>
      </c>
      <c r="L740" t="str">
        <f>TEXT(Calls[[#This Row],[Date of Call]],"mmm")</f>
        <v>May</v>
      </c>
    </row>
    <row r="741" spans="1:12" x14ac:dyDescent="0.3">
      <c r="A741" t="s">
        <v>745</v>
      </c>
      <c r="B741" t="s">
        <v>1007</v>
      </c>
      <c r="C741">
        <v>76</v>
      </c>
      <c r="D741" t="s">
        <v>1026</v>
      </c>
      <c r="E741" t="s">
        <v>1180</v>
      </c>
      <c r="F741">
        <v>20</v>
      </c>
      <c r="G741">
        <v>1.2</v>
      </c>
      <c r="H741">
        <f>ROUND(Calls[[#This Row],[Satisfactory Rating]],0)</f>
        <v>1</v>
      </c>
      <c r="I741" t="str" cm="1">
        <f t="array" ref="I741">_xlfn.IFS(Calls[[#This Row],[Duration (Min)]]&lt;=30,"Under 30 mins",Calls[[#This Row],[Duration (Min)]]&lt;=60,"Under 1h",Calls[[#This Row],[Duration (Min)]]&lt;=120,"Under 2",TRUE,"More than 2h")</f>
        <v>Under 2</v>
      </c>
      <c r="J741">
        <f>IF(MONTH(Calls[[#This Row],[Date of Call]])&lt;=3,YEAR(Calls[[#This Row],[Date of Call]]),YEAR(Calls[[#This Row],[Date of Call]])+1)</f>
        <v>2026</v>
      </c>
      <c r="K741" t="str">
        <f>TEXT(Calls[[#This Row],[Date of Call]],"dddd")</f>
        <v>Wednesday</v>
      </c>
      <c r="L741" t="str">
        <f>TEXT(Calls[[#This Row],[Date of Call]],"mmm")</f>
        <v>May</v>
      </c>
    </row>
    <row r="742" spans="1:12" x14ac:dyDescent="0.3">
      <c r="A742" t="s">
        <v>746</v>
      </c>
      <c r="B742" t="s">
        <v>1022</v>
      </c>
      <c r="C742">
        <v>123</v>
      </c>
      <c r="D742" t="s">
        <v>1027</v>
      </c>
      <c r="E742" t="s">
        <v>1181</v>
      </c>
      <c r="F742">
        <v>57</v>
      </c>
      <c r="G742">
        <v>2.6</v>
      </c>
      <c r="H742">
        <f>ROUND(Calls[[#This Row],[Satisfactory Rating]],0)</f>
        <v>3</v>
      </c>
      <c r="I742" t="str" cm="1">
        <f t="array" ref="I742">_xlfn.IFS(Calls[[#This Row],[Duration (Min)]]&lt;=30,"Under 30 mins",Calls[[#This Row],[Duration (Min)]]&lt;=60,"Under 1h",Calls[[#This Row],[Duration (Min)]]&lt;=120,"Under 2",TRUE,"More than 2h")</f>
        <v>More than 2h</v>
      </c>
      <c r="J742">
        <f>IF(MONTH(Calls[[#This Row],[Date of Call]])&lt;=3,YEAR(Calls[[#This Row],[Date of Call]]),YEAR(Calls[[#This Row],[Date of Call]])+1)</f>
        <v>2026</v>
      </c>
      <c r="K742" t="str">
        <f>TEXT(Calls[[#This Row],[Date of Call]],"dddd")</f>
        <v>Thursday</v>
      </c>
      <c r="L742" t="str">
        <f>TEXT(Calls[[#This Row],[Date of Call]],"mmm")</f>
        <v>May</v>
      </c>
    </row>
    <row r="743" spans="1:12" x14ac:dyDescent="0.3">
      <c r="A743" t="s">
        <v>747</v>
      </c>
      <c r="B743" t="s">
        <v>1021</v>
      </c>
      <c r="C743">
        <v>139</v>
      </c>
      <c r="D743" t="s">
        <v>1026</v>
      </c>
      <c r="E743" t="s">
        <v>1181</v>
      </c>
      <c r="F743">
        <v>132</v>
      </c>
      <c r="G743">
        <v>1.4</v>
      </c>
      <c r="H743">
        <f>ROUND(Calls[[#This Row],[Satisfactory Rating]],0)</f>
        <v>1</v>
      </c>
      <c r="I743" t="str" cm="1">
        <f t="array" ref="I743">_xlfn.IFS(Calls[[#This Row],[Duration (Min)]]&lt;=30,"Under 30 mins",Calls[[#This Row],[Duration (Min)]]&lt;=60,"Under 1h",Calls[[#This Row],[Duration (Min)]]&lt;=120,"Under 2",TRUE,"More than 2h")</f>
        <v>More than 2h</v>
      </c>
      <c r="J743">
        <f>IF(MONTH(Calls[[#This Row],[Date of Call]])&lt;=3,YEAR(Calls[[#This Row],[Date of Call]]),YEAR(Calls[[#This Row],[Date of Call]])+1)</f>
        <v>2026</v>
      </c>
      <c r="K743" t="str">
        <f>TEXT(Calls[[#This Row],[Date of Call]],"dddd")</f>
        <v>Thursday</v>
      </c>
      <c r="L743" t="str">
        <f>TEXT(Calls[[#This Row],[Date of Call]],"mmm")</f>
        <v>May</v>
      </c>
    </row>
    <row r="744" spans="1:12" x14ac:dyDescent="0.3">
      <c r="A744" t="s">
        <v>748</v>
      </c>
      <c r="B744" t="s">
        <v>1021</v>
      </c>
      <c r="C744">
        <v>45</v>
      </c>
      <c r="D744" t="s">
        <v>1026</v>
      </c>
      <c r="E744" t="s">
        <v>1181</v>
      </c>
      <c r="F744">
        <v>53</v>
      </c>
      <c r="G744">
        <v>4.9000000000000004</v>
      </c>
      <c r="H744">
        <f>ROUND(Calls[[#This Row],[Satisfactory Rating]],0)</f>
        <v>5</v>
      </c>
      <c r="I744" t="str" cm="1">
        <f t="array" ref="I744">_xlfn.IFS(Calls[[#This Row],[Duration (Min)]]&lt;=30,"Under 30 mins",Calls[[#This Row],[Duration (Min)]]&lt;=60,"Under 1h",Calls[[#This Row],[Duration (Min)]]&lt;=120,"Under 2",TRUE,"More than 2h")</f>
        <v>Under 1h</v>
      </c>
      <c r="J744">
        <f>IF(MONTH(Calls[[#This Row],[Date of Call]])&lt;=3,YEAR(Calls[[#This Row],[Date of Call]]),YEAR(Calls[[#This Row],[Date of Call]])+1)</f>
        <v>2026</v>
      </c>
      <c r="K744" t="str">
        <f>TEXT(Calls[[#This Row],[Date of Call]],"dddd")</f>
        <v>Thursday</v>
      </c>
      <c r="L744" t="str">
        <f>TEXT(Calls[[#This Row],[Date of Call]],"mmm")</f>
        <v>May</v>
      </c>
    </row>
    <row r="745" spans="1:12" x14ac:dyDescent="0.3">
      <c r="A745" t="s">
        <v>749</v>
      </c>
      <c r="B745" t="s">
        <v>1009</v>
      </c>
      <c r="C745">
        <v>109</v>
      </c>
      <c r="D745" t="s">
        <v>1029</v>
      </c>
      <c r="E745" t="s">
        <v>1181</v>
      </c>
      <c r="F745">
        <v>32</v>
      </c>
      <c r="G745">
        <v>4.8</v>
      </c>
      <c r="H745">
        <f>ROUND(Calls[[#This Row],[Satisfactory Rating]],0)</f>
        <v>5</v>
      </c>
      <c r="I745" t="str" cm="1">
        <f t="array" ref="I745">_xlfn.IFS(Calls[[#This Row],[Duration (Min)]]&lt;=30,"Under 30 mins",Calls[[#This Row],[Duration (Min)]]&lt;=60,"Under 1h",Calls[[#This Row],[Duration (Min)]]&lt;=120,"Under 2",TRUE,"More than 2h")</f>
        <v>Under 2</v>
      </c>
      <c r="J745">
        <f>IF(MONTH(Calls[[#This Row],[Date of Call]])&lt;=3,YEAR(Calls[[#This Row],[Date of Call]]),YEAR(Calls[[#This Row],[Date of Call]])+1)</f>
        <v>2026</v>
      </c>
      <c r="K745" t="str">
        <f>TEXT(Calls[[#This Row],[Date of Call]],"dddd")</f>
        <v>Thursday</v>
      </c>
      <c r="L745" t="str">
        <f>TEXT(Calls[[#This Row],[Date of Call]],"mmm")</f>
        <v>May</v>
      </c>
    </row>
    <row r="746" spans="1:12" x14ac:dyDescent="0.3">
      <c r="A746" t="s">
        <v>750</v>
      </c>
      <c r="B746" t="s">
        <v>1012</v>
      </c>
      <c r="C746">
        <v>102</v>
      </c>
      <c r="D746" t="s">
        <v>1030</v>
      </c>
      <c r="E746" t="s">
        <v>1181</v>
      </c>
      <c r="F746">
        <v>67</v>
      </c>
      <c r="G746">
        <v>1.4</v>
      </c>
      <c r="H746">
        <f>ROUND(Calls[[#This Row],[Satisfactory Rating]],0)</f>
        <v>1</v>
      </c>
      <c r="I746" t="str" cm="1">
        <f t="array" ref="I746">_xlfn.IFS(Calls[[#This Row],[Duration (Min)]]&lt;=30,"Under 30 mins",Calls[[#This Row],[Duration (Min)]]&lt;=60,"Under 1h",Calls[[#This Row],[Duration (Min)]]&lt;=120,"Under 2",TRUE,"More than 2h")</f>
        <v>Under 2</v>
      </c>
      <c r="J746">
        <f>IF(MONTH(Calls[[#This Row],[Date of Call]])&lt;=3,YEAR(Calls[[#This Row],[Date of Call]]),YEAR(Calls[[#This Row],[Date of Call]])+1)</f>
        <v>2026</v>
      </c>
      <c r="K746" t="str">
        <f>TEXT(Calls[[#This Row],[Date of Call]],"dddd")</f>
        <v>Thursday</v>
      </c>
      <c r="L746" t="str">
        <f>TEXT(Calls[[#This Row],[Date of Call]],"mmm")</f>
        <v>May</v>
      </c>
    </row>
    <row r="747" spans="1:12" x14ac:dyDescent="0.3">
      <c r="A747" t="s">
        <v>751</v>
      </c>
      <c r="B747" t="s">
        <v>1021</v>
      </c>
      <c r="C747">
        <v>24</v>
      </c>
      <c r="D747" t="s">
        <v>1032</v>
      </c>
      <c r="E747" t="s">
        <v>1182</v>
      </c>
      <c r="F747">
        <v>90</v>
      </c>
      <c r="G747">
        <v>4.9000000000000004</v>
      </c>
      <c r="H747">
        <f>ROUND(Calls[[#This Row],[Satisfactory Rating]],0)</f>
        <v>5</v>
      </c>
      <c r="I747" t="str" cm="1">
        <f t="array" ref="I747">_xlfn.IFS(Calls[[#This Row],[Duration (Min)]]&lt;=30,"Under 30 mins",Calls[[#This Row],[Duration (Min)]]&lt;=60,"Under 1h",Calls[[#This Row],[Duration (Min)]]&lt;=120,"Under 2",TRUE,"More than 2h")</f>
        <v>Under 30 mins</v>
      </c>
      <c r="J747">
        <f>IF(MONTH(Calls[[#This Row],[Date of Call]])&lt;=3,YEAR(Calls[[#This Row],[Date of Call]]),YEAR(Calls[[#This Row],[Date of Call]])+1)</f>
        <v>2026</v>
      </c>
      <c r="K747" t="str">
        <f>TEXT(Calls[[#This Row],[Date of Call]],"dddd")</f>
        <v>Friday</v>
      </c>
      <c r="L747" t="str">
        <f>TEXT(Calls[[#This Row],[Date of Call]],"mmm")</f>
        <v>May</v>
      </c>
    </row>
    <row r="748" spans="1:12" x14ac:dyDescent="0.3">
      <c r="A748" t="s">
        <v>752</v>
      </c>
      <c r="B748" t="s">
        <v>1021</v>
      </c>
      <c r="C748">
        <v>58</v>
      </c>
      <c r="D748" t="s">
        <v>1031</v>
      </c>
      <c r="E748" t="s">
        <v>1182</v>
      </c>
      <c r="F748">
        <v>112</v>
      </c>
      <c r="G748">
        <v>1.6</v>
      </c>
      <c r="H748">
        <f>ROUND(Calls[[#This Row],[Satisfactory Rating]],0)</f>
        <v>2</v>
      </c>
      <c r="I748" t="str" cm="1">
        <f t="array" ref="I748">_xlfn.IFS(Calls[[#This Row],[Duration (Min)]]&lt;=30,"Under 30 mins",Calls[[#This Row],[Duration (Min)]]&lt;=60,"Under 1h",Calls[[#This Row],[Duration (Min)]]&lt;=120,"Under 2",TRUE,"More than 2h")</f>
        <v>Under 1h</v>
      </c>
      <c r="J748">
        <f>IF(MONTH(Calls[[#This Row],[Date of Call]])&lt;=3,YEAR(Calls[[#This Row],[Date of Call]]),YEAR(Calls[[#This Row],[Date of Call]])+1)</f>
        <v>2026</v>
      </c>
      <c r="K748" t="str">
        <f>TEXT(Calls[[#This Row],[Date of Call]],"dddd")</f>
        <v>Friday</v>
      </c>
      <c r="L748" t="str">
        <f>TEXT(Calls[[#This Row],[Date of Call]],"mmm")</f>
        <v>May</v>
      </c>
    </row>
    <row r="749" spans="1:12" x14ac:dyDescent="0.3">
      <c r="A749" t="s">
        <v>753</v>
      </c>
      <c r="B749" t="s">
        <v>1017</v>
      </c>
      <c r="C749">
        <v>127</v>
      </c>
      <c r="D749" t="s">
        <v>1031</v>
      </c>
      <c r="E749" t="s">
        <v>1182</v>
      </c>
      <c r="F749">
        <v>124</v>
      </c>
      <c r="G749">
        <v>1.5</v>
      </c>
      <c r="H749">
        <f>ROUND(Calls[[#This Row],[Satisfactory Rating]],0)</f>
        <v>2</v>
      </c>
      <c r="I749" t="str" cm="1">
        <f t="array" ref="I749">_xlfn.IFS(Calls[[#This Row],[Duration (Min)]]&lt;=30,"Under 30 mins",Calls[[#This Row],[Duration (Min)]]&lt;=60,"Under 1h",Calls[[#This Row],[Duration (Min)]]&lt;=120,"Under 2",TRUE,"More than 2h")</f>
        <v>More than 2h</v>
      </c>
      <c r="J749">
        <f>IF(MONTH(Calls[[#This Row],[Date of Call]])&lt;=3,YEAR(Calls[[#This Row],[Date of Call]]),YEAR(Calls[[#This Row],[Date of Call]])+1)</f>
        <v>2026</v>
      </c>
      <c r="K749" t="str">
        <f>TEXT(Calls[[#This Row],[Date of Call]],"dddd")</f>
        <v>Friday</v>
      </c>
      <c r="L749" t="str">
        <f>TEXT(Calls[[#This Row],[Date of Call]],"mmm")</f>
        <v>May</v>
      </c>
    </row>
    <row r="750" spans="1:12" x14ac:dyDescent="0.3">
      <c r="A750" t="s">
        <v>754</v>
      </c>
      <c r="B750" t="s">
        <v>1013</v>
      </c>
      <c r="C750">
        <v>85</v>
      </c>
      <c r="D750" t="s">
        <v>1030</v>
      </c>
      <c r="E750" t="s">
        <v>1182</v>
      </c>
      <c r="F750">
        <v>87</v>
      </c>
      <c r="G750">
        <v>4.8</v>
      </c>
      <c r="H750">
        <f>ROUND(Calls[[#This Row],[Satisfactory Rating]],0)</f>
        <v>5</v>
      </c>
      <c r="I750" t="str" cm="1">
        <f t="array" ref="I750">_xlfn.IFS(Calls[[#This Row],[Duration (Min)]]&lt;=30,"Under 30 mins",Calls[[#This Row],[Duration (Min)]]&lt;=60,"Under 1h",Calls[[#This Row],[Duration (Min)]]&lt;=120,"Under 2",TRUE,"More than 2h")</f>
        <v>Under 2</v>
      </c>
      <c r="J750">
        <f>IF(MONTH(Calls[[#This Row],[Date of Call]])&lt;=3,YEAR(Calls[[#This Row],[Date of Call]]),YEAR(Calls[[#This Row],[Date of Call]])+1)</f>
        <v>2026</v>
      </c>
      <c r="K750" t="str">
        <f>TEXT(Calls[[#This Row],[Date of Call]],"dddd")</f>
        <v>Friday</v>
      </c>
      <c r="L750" t="str">
        <f>TEXT(Calls[[#This Row],[Date of Call]],"mmm")</f>
        <v>May</v>
      </c>
    </row>
    <row r="751" spans="1:12" x14ac:dyDescent="0.3">
      <c r="A751" t="s">
        <v>755</v>
      </c>
      <c r="B751" t="s">
        <v>1025</v>
      </c>
      <c r="C751">
        <v>89</v>
      </c>
      <c r="D751" t="s">
        <v>1029</v>
      </c>
      <c r="E751" t="s">
        <v>1182</v>
      </c>
      <c r="F751">
        <v>96</v>
      </c>
      <c r="G751">
        <v>2.2000000000000002</v>
      </c>
      <c r="H751">
        <f>ROUND(Calls[[#This Row],[Satisfactory Rating]],0)</f>
        <v>2</v>
      </c>
      <c r="I751" t="str" cm="1">
        <f t="array" ref="I751">_xlfn.IFS(Calls[[#This Row],[Duration (Min)]]&lt;=30,"Under 30 mins",Calls[[#This Row],[Duration (Min)]]&lt;=60,"Under 1h",Calls[[#This Row],[Duration (Min)]]&lt;=120,"Under 2",TRUE,"More than 2h")</f>
        <v>Under 2</v>
      </c>
      <c r="J751">
        <f>IF(MONTH(Calls[[#This Row],[Date of Call]])&lt;=3,YEAR(Calls[[#This Row],[Date of Call]]),YEAR(Calls[[#This Row],[Date of Call]])+1)</f>
        <v>2026</v>
      </c>
      <c r="K751" t="str">
        <f>TEXT(Calls[[#This Row],[Date of Call]],"dddd")</f>
        <v>Friday</v>
      </c>
      <c r="L751" t="str">
        <f>TEXT(Calls[[#This Row],[Date of Call]],"mmm")</f>
        <v>May</v>
      </c>
    </row>
    <row r="752" spans="1:12" x14ac:dyDescent="0.3">
      <c r="A752" t="s">
        <v>756</v>
      </c>
      <c r="B752" t="s">
        <v>1019</v>
      </c>
      <c r="C752">
        <v>138</v>
      </c>
      <c r="D752" t="s">
        <v>1032</v>
      </c>
      <c r="E752" t="s">
        <v>1183</v>
      </c>
      <c r="F752">
        <v>89</v>
      </c>
      <c r="G752">
        <v>3.9</v>
      </c>
      <c r="H752">
        <f>ROUND(Calls[[#This Row],[Satisfactory Rating]],0)</f>
        <v>4</v>
      </c>
      <c r="I752" t="str" cm="1">
        <f t="array" ref="I752">_xlfn.IFS(Calls[[#This Row],[Duration (Min)]]&lt;=30,"Under 30 mins",Calls[[#This Row],[Duration (Min)]]&lt;=60,"Under 1h",Calls[[#This Row],[Duration (Min)]]&lt;=120,"Under 2",TRUE,"More than 2h")</f>
        <v>More than 2h</v>
      </c>
      <c r="J752">
        <f>IF(MONTH(Calls[[#This Row],[Date of Call]])&lt;=3,YEAR(Calls[[#This Row],[Date of Call]]),YEAR(Calls[[#This Row],[Date of Call]])+1)</f>
        <v>2026</v>
      </c>
      <c r="K752" t="str">
        <f>TEXT(Calls[[#This Row],[Date of Call]],"dddd")</f>
        <v>Saturday</v>
      </c>
      <c r="L752" t="str">
        <f>TEXT(Calls[[#This Row],[Date of Call]],"mmm")</f>
        <v>May</v>
      </c>
    </row>
    <row r="753" spans="1:12" x14ac:dyDescent="0.3">
      <c r="A753" t="s">
        <v>757</v>
      </c>
      <c r="B753" t="s">
        <v>1009</v>
      </c>
      <c r="C753">
        <v>59</v>
      </c>
      <c r="D753" t="s">
        <v>1026</v>
      </c>
      <c r="E753" t="s">
        <v>1183</v>
      </c>
      <c r="F753">
        <v>61</v>
      </c>
      <c r="G753">
        <v>3.7</v>
      </c>
      <c r="H753">
        <f>ROUND(Calls[[#This Row],[Satisfactory Rating]],0)</f>
        <v>4</v>
      </c>
      <c r="I753" t="str" cm="1">
        <f t="array" ref="I753">_xlfn.IFS(Calls[[#This Row],[Duration (Min)]]&lt;=30,"Under 30 mins",Calls[[#This Row],[Duration (Min)]]&lt;=60,"Under 1h",Calls[[#This Row],[Duration (Min)]]&lt;=120,"Under 2",TRUE,"More than 2h")</f>
        <v>Under 1h</v>
      </c>
      <c r="J753">
        <f>IF(MONTH(Calls[[#This Row],[Date of Call]])&lt;=3,YEAR(Calls[[#This Row],[Date of Call]]),YEAR(Calls[[#This Row],[Date of Call]])+1)</f>
        <v>2026</v>
      </c>
      <c r="K753" t="str">
        <f>TEXT(Calls[[#This Row],[Date of Call]],"dddd")</f>
        <v>Saturday</v>
      </c>
      <c r="L753" t="str">
        <f>TEXT(Calls[[#This Row],[Date of Call]],"mmm")</f>
        <v>May</v>
      </c>
    </row>
    <row r="754" spans="1:12" x14ac:dyDescent="0.3">
      <c r="A754" t="s">
        <v>758</v>
      </c>
      <c r="B754" t="s">
        <v>1015</v>
      </c>
      <c r="C754">
        <v>44</v>
      </c>
      <c r="D754" t="s">
        <v>1030</v>
      </c>
      <c r="E754" t="s">
        <v>1183</v>
      </c>
      <c r="F754">
        <v>137</v>
      </c>
      <c r="G754">
        <v>1.5</v>
      </c>
      <c r="H754">
        <f>ROUND(Calls[[#This Row],[Satisfactory Rating]],0)</f>
        <v>2</v>
      </c>
      <c r="I754" t="str" cm="1">
        <f t="array" ref="I754">_xlfn.IFS(Calls[[#This Row],[Duration (Min)]]&lt;=30,"Under 30 mins",Calls[[#This Row],[Duration (Min)]]&lt;=60,"Under 1h",Calls[[#This Row],[Duration (Min)]]&lt;=120,"Under 2",TRUE,"More than 2h")</f>
        <v>Under 1h</v>
      </c>
      <c r="J754">
        <f>IF(MONTH(Calls[[#This Row],[Date of Call]])&lt;=3,YEAR(Calls[[#This Row],[Date of Call]]),YEAR(Calls[[#This Row],[Date of Call]])+1)</f>
        <v>2026</v>
      </c>
      <c r="K754" t="str">
        <f>TEXT(Calls[[#This Row],[Date of Call]],"dddd")</f>
        <v>Saturday</v>
      </c>
      <c r="L754" t="str">
        <f>TEXT(Calls[[#This Row],[Date of Call]],"mmm")</f>
        <v>May</v>
      </c>
    </row>
    <row r="755" spans="1:12" x14ac:dyDescent="0.3">
      <c r="A755" t="s">
        <v>759</v>
      </c>
      <c r="B755" t="s">
        <v>1019</v>
      </c>
      <c r="C755">
        <v>99</v>
      </c>
      <c r="D755" t="s">
        <v>1027</v>
      </c>
      <c r="E755" t="s">
        <v>1183</v>
      </c>
      <c r="F755">
        <v>48</v>
      </c>
      <c r="G755">
        <v>3.7</v>
      </c>
      <c r="H755">
        <f>ROUND(Calls[[#This Row],[Satisfactory Rating]],0)</f>
        <v>4</v>
      </c>
      <c r="I755" t="str" cm="1">
        <f t="array" ref="I755">_xlfn.IFS(Calls[[#This Row],[Duration (Min)]]&lt;=30,"Under 30 mins",Calls[[#This Row],[Duration (Min)]]&lt;=60,"Under 1h",Calls[[#This Row],[Duration (Min)]]&lt;=120,"Under 2",TRUE,"More than 2h")</f>
        <v>Under 2</v>
      </c>
      <c r="J755">
        <f>IF(MONTH(Calls[[#This Row],[Date of Call]])&lt;=3,YEAR(Calls[[#This Row],[Date of Call]]),YEAR(Calls[[#This Row],[Date of Call]])+1)</f>
        <v>2026</v>
      </c>
      <c r="K755" t="str">
        <f>TEXT(Calls[[#This Row],[Date of Call]],"dddd")</f>
        <v>Saturday</v>
      </c>
      <c r="L755" t="str">
        <f>TEXT(Calls[[#This Row],[Date of Call]],"mmm")</f>
        <v>May</v>
      </c>
    </row>
    <row r="756" spans="1:12" x14ac:dyDescent="0.3">
      <c r="A756" t="s">
        <v>760</v>
      </c>
      <c r="B756" t="s">
        <v>1017</v>
      </c>
      <c r="C756">
        <v>151</v>
      </c>
      <c r="D756" t="s">
        <v>1032</v>
      </c>
      <c r="E756" t="s">
        <v>1183</v>
      </c>
      <c r="F756">
        <v>74</v>
      </c>
      <c r="G756">
        <v>1</v>
      </c>
      <c r="H756">
        <f>ROUND(Calls[[#This Row],[Satisfactory Rating]],0)</f>
        <v>1</v>
      </c>
      <c r="I756" t="str" cm="1">
        <f t="array" ref="I756">_xlfn.IFS(Calls[[#This Row],[Duration (Min)]]&lt;=30,"Under 30 mins",Calls[[#This Row],[Duration (Min)]]&lt;=60,"Under 1h",Calls[[#This Row],[Duration (Min)]]&lt;=120,"Under 2",TRUE,"More than 2h")</f>
        <v>More than 2h</v>
      </c>
      <c r="J756">
        <f>IF(MONTH(Calls[[#This Row],[Date of Call]])&lt;=3,YEAR(Calls[[#This Row],[Date of Call]]),YEAR(Calls[[#This Row],[Date of Call]])+1)</f>
        <v>2026</v>
      </c>
      <c r="K756" t="str">
        <f>TEXT(Calls[[#This Row],[Date of Call]],"dddd")</f>
        <v>Saturday</v>
      </c>
      <c r="L756" t="str">
        <f>TEXT(Calls[[#This Row],[Date of Call]],"mmm")</f>
        <v>May</v>
      </c>
    </row>
    <row r="757" spans="1:12" x14ac:dyDescent="0.3">
      <c r="A757" t="s">
        <v>761</v>
      </c>
      <c r="B757" t="s">
        <v>1013</v>
      </c>
      <c r="C757">
        <v>159</v>
      </c>
      <c r="D757" t="s">
        <v>1029</v>
      </c>
      <c r="E757" t="s">
        <v>1184</v>
      </c>
      <c r="F757">
        <v>82</v>
      </c>
      <c r="G757">
        <v>2.2999999999999998</v>
      </c>
      <c r="H757">
        <f>ROUND(Calls[[#This Row],[Satisfactory Rating]],0)</f>
        <v>2</v>
      </c>
      <c r="I757" t="str" cm="1">
        <f t="array" ref="I757">_xlfn.IFS(Calls[[#This Row],[Duration (Min)]]&lt;=30,"Under 30 mins",Calls[[#This Row],[Duration (Min)]]&lt;=60,"Under 1h",Calls[[#This Row],[Duration (Min)]]&lt;=120,"Under 2",TRUE,"More than 2h")</f>
        <v>More than 2h</v>
      </c>
      <c r="J757">
        <f>IF(MONTH(Calls[[#This Row],[Date of Call]])&lt;=3,YEAR(Calls[[#This Row],[Date of Call]]),YEAR(Calls[[#This Row],[Date of Call]])+1)</f>
        <v>2026</v>
      </c>
      <c r="K757" t="str">
        <f>TEXT(Calls[[#This Row],[Date of Call]],"dddd")</f>
        <v>Sunday</v>
      </c>
      <c r="L757" t="str">
        <f>TEXT(Calls[[#This Row],[Date of Call]],"mmm")</f>
        <v>Jun</v>
      </c>
    </row>
    <row r="758" spans="1:12" x14ac:dyDescent="0.3">
      <c r="A758" t="s">
        <v>762</v>
      </c>
      <c r="B758" t="s">
        <v>1013</v>
      </c>
      <c r="C758">
        <v>101</v>
      </c>
      <c r="D758" t="s">
        <v>1027</v>
      </c>
      <c r="E758" t="s">
        <v>1184</v>
      </c>
      <c r="F758">
        <v>46</v>
      </c>
      <c r="G758">
        <v>3.1</v>
      </c>
      <c r="H758">
        <f>ROUND(Calls[[#This Row],[Satisfactory Rating]],0)</f>
        <v>3</v>
      </c>
      <c r="I758" t="str" cm="1">
        <f t="array" ref="I758">_xlfn.IFS(Calls[[#This Row],[Duration (Min)]]&lt;=30,"Under 30 mins",Calls[[#This Row],[Duration (Min)]]&lt;=60,"Under 1h",Calls[[#This Row],[Duration (Min)]]&lt;=120,"Under 2",TRUE,"More than 2h")</f>
        <v>Under 2</v>
      </c>
      <c r="J758">
        <f>IF(MONTH(Calls[[#This Row],[Date of Call]])&lt;=3,YEAR(Calls[[#This Row],[Date of Call]]),YEAR(Calls[[#This Row],[Date of Call]])+1)</f>
        <v>2026</v>
      </c>
      <c r="K758" t="str">
        <f>TEXT(Calls[[#This Row],[Date of Call]],"dddd")</f>
        <v>Sunday</v>
      </c>
      <c r="L758" t="str">
        <f>TEXT(Calls[[#This Row],[Date of Call]],"mmm")</f>
        <v>Jun</v>
      </c>
    </row>
    <row r="759" spans="1:12" x14ac:dyDescent="0.3">
      <c r="A759" t="s">
        <v>763</v>
      </c>
      <c r="B759" t="s">
        <v>1007</v>
      </c>
      <c r="C759">
        <v>37</v>
      </c>
      <c r="D759" t="s">
        <v>1027</v>
      </c>
      <c r="E759" t="s">
        <v>1184</v>
      </c>
      <c r="F759">
        <v>51</v>
      </c>
      <c r="G759">
        <v>4.4000000000000004</v>
      </c>
      <c r="H759">
        <f>ROUND(Calls[[#This Row],[Satisfactory Rating]],0)</f>
        <v>4</v>
      </c>
      <c r="I759" t="str" cm="1">
        <f t="array" ref="I759">_xlfn.IFS(Calls[[#This Row],[Duration (Min)]]&lt;=30,"Under 30 mins",Calls[[#This Row],[Duration (Min)]]&lt;=60,"Under 1h",Calls[[#This Row],[Duration (Min)]]&lt;=120,"Under 2",TRUE,"More than 2h")</f>
        <v>Under 1h</v>
      </c>
      <c r="J759">
        <f>IF(MONTH(Calls[[#This Row],[Date of Call]])&lt;=3,YEAR(Calls[[#This Row],[Date of Call]]),YEAR(Calls[[#This Row],[Date of Call]])+1)</f>
        <v>2026</v>
      </c>
      <c r="K759" t="str">
        <f>TEXT(Calls[[#This Row],[Date of Call]],"dddd")</f>
        <v>Sunday</v>
      </c>
      <c r="L759" t="str">
        <f>TEXT(Calls[[#This Row],[Date of Call]],"mmm")</f>
        <v>Jun</v>
      </c>
    </row>
    <row r="760" spans="1:12" x14ac:dyDescent="0.3">
      <c r="A760" t="s">
        <v>764</v>
      </c>
      <c r="B760" t="s">
        <v>1024</v>
      </c>
      <c r="C760">
        <v>147</v>
      </c>
      <c r="D760" t="s">
        <v>1027</v>
      </c>
      <c r="E760" t="s">
        <v>1184</v>
      </c>
      <c r="F760">
        <v>90</v>
      </c>
      <c r="G760">
        <v>4.7</v>
      </c>
      <c r="H760">
        <f>ROUND(Calls[[#This Row],[Satisfactory Rating]],0)</f>
        <v>5</v>
      </c>
      <c r="I760" t="str" cm="1">
        <f t="array" ref="I760">_xlfn.IFS(Calls[[#This Row],[Duration (Min)]]&lt;=30,"Under 30 mins",Calls[[#This Row],[Duration (Min)]]&lt;=60,"Under 1h",Calls[[#This Row],[Duration (Min)]]&lt;=120,"Under 2",TRUE,"More than 2h")</f>
        <v>More than 2h</v>
      </c>
      <c r="J760">
        <f>IF(MONTH(Calls[[#This Row],[Date of Call]])&lt;=3,YEAR(Calls[[#This Row],[Date of Call]]),YEAR(Calls[[#This Row],[Date of Call]])+1)</f>
        <v>2026</v>
      </c>
      <c r="K760" t="str">
        <f>TEXT(Calls[[#This Row],[Date of Call]],"dddd")</f>
        <v>Sunday</v>
      </c>
      <c r="L760" t="str">
        <f>TEXT(Calls[[#This Row],[Date of Call]],"mmm")</f>
        <v>Jun</v>
      </c>
    </row>
    <row r="761" spans="1:12" x14ac:dyDescent="0.3">
      <c r="A761" t="s">
        <v>765</v>
      </c>
      <c r="B761" t="s">
        <v>1019</v>
      </c>
      <c r="C761">
        <v>44</v>
      </c>
      <c r="D761" t="s">
        <v>1032</v>
      </c>
      <c r="E761" t="s">
        <v>1184</v>
      </c>
      <c r="F761">
        <v>125</v>
      </c>
      <c r="G761">
        <v>2</v>
      </c>
      <c r="H761">
        <f>ROUND(Calls[[#This Row],[Satisfactory Rating]],0)</f>
        <v>2</v>
      </c>
      <c r="I761" t="str" cm="1">
        <f t="array" ref="I761">_xlfn.IFS(Calls[[#This Row],[Duration (Min)]]&lt;=30,"Under 30 mins",Calls[[#This Row],[Duration (Min)]]&lt;=60,"Under 1h",Calls[[#This Row],[Duration (Min)]]&lt;=120,"Under 2",TRUE,"More than 2h")</f>
        <v>Under 1h</v>
      </c>
      <c r="J761">
        <f>IF(MONTH(Calls[[#This Row],[Date of Call]])&lt;=3,YEAR(Calls[[#This Row],[Date of Call]]),YEAR(Calls[[#This Row],[Date of Call]])+1)</f>
        <v>2026</v>
      </c>
      <c r="K761" t="str">
        <f>TEXT(Calls[[#This Row],[Date of Call]],"dddd")</f>
        <v>Sunday</v>
      </c>
      <c r="L761" t="str">
        <f>TEXT(Calls[[#This Row],[Date of Call]],"mmm")</f>
        <v>Jun</v>
      </c>
    </row>
    <row r="762" spans="1:12" x14ac:dyDescent="0.3">
      <c r="A762" t="s">
        <v>766</v>
      </c>
      <c r="B762" t="s">
        <v>1008</v>
      </c>
      <c r="C762">
        <v>33</v>
      </c>
      <c r="D762" t="s">
        <v>1029</v>
      </c>
      <c r="E762" t="s">
        <v>1185</v>
      </c>
      <c r="F762">
        <v>60</v>
      </c>
      <c r="G762">
        <v>3.2</v>
      </c>
      <c r="H762">
        <f>ROUND(Calls[[#This Row],[Satisfactory Rating]],0)</f>
        <v>3</v>
      </c>
      <c r="I762" t="str" cm="1">
        <f t="array" ref="I762">_xlfn.IFS(Calls[[#This Row],[Duration (Min)]]&lt;=30,"Under 30 mins",Calls[[#This Row],[Duration (Min)]]&lt;=60,"Under 1h",Calls[[#This Row],[Duration (Min)]]&lt;=120,"Under 2",TRUE,"More than 2h")</f>
        <v>Under 1h</v>
      </c>
      <c r="J762">
        <f>IF(MONTH(Calls[[#This Row],[Date of Call]])&lt;=3,YEAR(Calls[[#This Row],[Date of Call]]),YEAR(Calls[[#This Row],[Date of Call]])+1)</f>
        <v>2026</v>
      </c>
      <c r="K762" t="str">
        <f>TEXT(Calls[[#This Row],[Date of Call]],"dddd")</f>
        <v>Monday</v>
      </c>
      <c r="L762" t="str">
        <f>TEXT(Calls[[#This Row],[Date of Call]],"mmm")</f>
        <v>Jun</v>
      </c>
    </row>
    <row r="763" spans="1:12" x14ac:dyDescent="0.3">
      <c r="A763" t="s">
        <v>767</v>
      </c>
      <c r="B763" t="s">
        <v>1020</v>
      </c>
      <c r="C763">
        <v>155</v>
      </c>
      <c r="D763" t="s">
        <v>1029</v>
      </c>
      <c r="E763" t="s">
        <v>1185</v>
      </c>
      <c r="F763">
        <v>102</v>
      </c>
      <c r="G763">
        <v>1.3</v>
      </c>
      <c r="H763">
        <f>ROUND(Calls[[#This Row],[Satisfactory Rating]],0)</f>
        <v>1</v>
      </c>
      <c r="I763" t="str" cm="1">
        <f t="array" ref="I763">_xlfn.IFS(Calls[[#This Row],[Duration (Min)]]&lt;=30,"Under 30 mins",Calls[[#This Row],[Duration (Min)]]&lt;=60,"Under 1h",Calls[[#This Row],[Duration (Min)]]&lt;=120,"Under 2",TRUE,"More than 2h")</f>
        <v>More than 2h</v>
      </c>
      <c r="J763">
        <f>IF(MONTH(Calls[[#This Row],[Date of Call]])&lt;=3,YEAR(Calls[[#This Row],[Date of Call]]),YEAR(Calls[[#This Row],[Date of Call]])+1)</f>
        <v>2026</v>
      </c>
      <c r="K763" t="str">
        <f>TEXT(Calls[[#This Row],[Date of Call]],"dddd")</f>
        <v>Monday</v>
      </c>
      <c r="L763" t="str">
        <f>TEXT(Calls[[#This Row],[Date of Call]],"mmm")</f>
        <v>Jun</v>
      </c>
    </row>
    <row r="764" spans="1:12" x14ac:dyDescent="0.3">
      <c r="A764" t="s">
        <v>768</v>
      </c>
      <c r="B764" t="s">
        <v>1011</v>
      </c>
      <c r="C764">
        <v>95</v>
      </c>
      <c r="D764" t="s">
        <v>1032</v>
      </c>
      <c r="E764" t="s">
        <v>1185</v>
      </c>
      <c r="F764">
        <v>137</v>
      </c>
      <c r="G764">
        <v>2.1</v>
      </c>
      <c r="H764">
        <f>ROUND(Calls[[#This Row],[Satisfactory Rating]],0)</f>
        <v>2</v>
      </c>
      <c r="I764" t="str" cm="1">
        <f t="array" ref="I764">_xlfn.IFS(Calls[[#This Row],[Duration (Min)]]&lt;=30,"Under 30 mins",Calls[[#This Row],[Duration (Min)]]&lt;=60,"Under 1h",Calls[[#This Row],[Duration (Min)]]&lt;=120,"Under 2",TRUE,"More than 2h")</f>
        <v>Under 2</v>
      </c>
      <c r="J764">
        <f>IF(MONTH(Calls[[#This Row],[Date of Call]])&lt;=3,YEAR(Calls[[#This Row],[Date of Call]]),YEAR(Calls[[#This Row],[Date of Call]])+1)</f>
        <v>2026</v>
      </c>
      <c r="K764" t="str">
        <f>TEXT(Calls[[#This Row],[Date of Call]],"dddd")</f>
        <v>Monday</v>
      </c>
      <c r="L764" t="str">
        <f>TEXT(Calls[[#This Row],[Date of Call]],"mmm")</f>
        <v>Jun</v>
      </c>
    </row>
    <row r="765" spans="1:12" x14ac:dyDescent="0.3">
      <c r="A765" t="s">
        <v>769</v>
      </c>
      <c r="B765" t="s">
        <v>1019</v>
      </c>
      <c r="C765">
        <v>115</v>
      </c>
      <c r="D765" t="s">
        <v>1029</v>
      </c>
      <c r="E765" t="s">
        <v>1185</v>
      </c>
      <c r="F765">
        <v>58</v>
      </c>
      <c r="G765">
        <v>3.2</v>
      </c>
      <c r="H765">
        <f>ROUND(Calls[[#This Row],[Satisfactory Rating]],0)</f>
        <v>3</v>
      </c>
      <c r="I765" t="str" cm="1">
        <f t="array" ref="I765">_xlfn.IFS(Calls[[#This Row],[Duration (Min)]]&lt;=30,"Under 30 mins",Calls[[#This Row],[Duration (Min)]]&lt;=60,"Under 1h",Calls[[#This Row],[Duration (Min)]]&lt;=120,"Under 2",TRUE,"More than 2h")</f>
        <v>Under 2</v>
      </c>
      <c r="J765">
        <f>IF(MONTH(Calls[[#This Row],[Date of Call]])&lt;=3,YEAR(Calls[[#This Row],[Date of Call]]),YEAR(Calls[[#This Row],[Date of Call]])+1)</f>
        <v>2026</v>
      </c>
      <c r="K765" t="str">
        <f>TEXT(Calls[[#This Row],[Date of Call]],"dddd")</f>
        <v>Monday</v>
      </c>
      <c r="L765" t="str">
        <f>TEXT(Calls[[#This Row],[Date of Call]],"mmm")</f>
        <v>Jun</v>
      </c>
    </row>
    <row r="766" spans="1:12" x14ac:dyDescent="0.3">
      <c r="A766" t="s">
        <v>770</v>
      </c>
      <c r="B766" t="s">
        <v>1007</v>
      </c>
      <c r="C766">
        <v>121</v>
      </c>
      <c r="D766" t="s">
        <v>1026</v>
      </c>
      <c r="E766" t="s">
        <v>1185</v>
      </c>
      <c r="F766">
        <v>79</v>
      </c>
      <c r="G766">
        <v>4.9000000000000004</v>
      </c>
      <c r="H766">
        <f>ROUND(Calls[[#This Row],[Satisfactory Rating]],0)</f>
        <v>5</v>
      </c>
      <c r="I766" t="str" cm="1">
        <f t="array" ref="I766">_xlfn.IFS(Calls[[#This Row],[Duration (Min)]]&lt;=30,"Under 30 mins",Calls[[#This Row],[Duration (Min)]]&lt;=60,"Under 1h",Calls[[#This Row],[Duration (Min)]]&lt;=120,"Under 2",TRUE,"More than 2h")</f>
        <v>More than 2h</v>
      </c>
      <c r="J766">
        <f>IF(MONTH(Calls[[#This Row],[Date of Call]])&lt;=3,YEAR(Calls[[#This Row],[Date of Call]]),YEAR(Calls[[#This Row],[Date of Call]])+1)</f>
        <v>2026</v>
      </c>
      <c r="K766" t="str">
        <f>TEXT(Calls[[#This Row],[Date of Call]],"dddd")</f>
        <v>Monday</v>
      </c>
      <c r="L766" t="str">
        <f>TEXT(Calls[[#This Row],[Date of Call]],"mmm")</f>
        <v>Jun</v>
      </c>
    </row>
    <row r="767" spans="1:12" x14ac:dyDescent="0.3">
      <c r="A767" t="s">
        <v>771</v>
      </c>
      <c r="B767" t="s">
        <v>1013</v>
      </c>
      <c r="C767">
        <v>93</v>
      </c>
      <c r="D767" t="s">
        <v>1027</v>
      </c>
      <c r="E767" t="s">
        <v>1186</v>
      </c>
      <c r="F767">
        <v>113</v>
      </c>
      <c r="G767">
        <v>1.9</v>
      </c>
      <c r="H767">
        <f>ROUND(Calls[[#This Row],[Satisfactory Rating]],0)</f>
        <v>2</v>
      </c>
      <c r="I767" t="str" cm="1">
        <f t="array" ref="I767">_xlfn.IFS(Calls[[#This Row],[Duration (Min)]]&lt;=30,"Under 30 mins",Calls[[#This Row],[Duration (Min)]]&lt;=60,"Under 1h",Calls[[#This Row],[Duration (Min)]]&lt;=120,"Under 2",TRUE,"More than 2h")</f>
        <v>Under 2</v>
      </c>
      <c r="J767">
        <f>IF(MONTH(Calls[[#This Row],[Date of Call]])&lt;=3,YEAR(Calls[[#This Row],[Date of Call]]),YEAR(Calls[[#This Row],[Date of Call]])+1)</f>
        <v>2026</v>
      </c>
      <c r="K767" t="str">
        <f>TEXT(Calls[[#This Row],[Date of Call]],"dddd")</f>
        <v>Tuesday</v>
      </c>
      <c r="L767" t="str">
        <f>TEXT(Calls[[#This Row],[Date of Call]],"mmm")</f>
        <v>Jun</v>
      </c>
    </row>
    <row r="768" spans="1:12" x14ac:dyDescent="0.3">
      <c r="A768" t="s">
        <v>772</v>
      </c>
      <c r="B768" t="s">
        <v>1008</v>
      </c>
      <c r="C768">
        <v>66</v>
      </c>
      <c r="D768" t="s">
        <v>1026</v>
      </c>
      <c r="E768" t="s">
        <v>1186</v>
      </c>
      <c r="F768">
        <v>57</v>
      </c>
      <c r="G768">
        <v>4</v>
      </c>
      <c r="H768">
        <f>ROUND(Calls[[#This Row],[Satisfactory Rating]],0)</f>
        <v>4</v>
      </c>
      <c r="I768" t="str" cm="1">
        <f t="array" ref="I768">_xlfn.IFS(Calls[[#This Row],[Duration (Min)]]&lt;=30,"Under 30 mins",Calls[[#This Row],[Duration (Min)]]&lt;=60,"Under 1h",Calls[[#This Row],[Duration (Min)]]&lt;=120,"Under 2",TRUE,"More than 2h")</f>
        <v>Under 2</v>
      </c>
      <c r="J768">
        <f>IF(MONTH(Calls[[#This Row],[Date of Call]])&lt;=3,YEAR(Calls[[#This Row],[Date of Call]]),YEAR(Calls[[#This Row],[Date of Call]])+1)</f>
        <v>2026</v>
      </c>
      <c r="K768" t="str">
        <f>TEXT(Calls[[#This Row],[Date of Call]],"dddd")</f>
        <v>Tuesday</v>
      </c>
      <c r="L768" t="str">
        <f>TEXT(Calls[[#This Row],[Date of Call]],"mmm")</f>
        <v>Jun</v>
      </c>
    </row>
    <row r="769" spans="1:12" x14ac:dyDescent="0.3">
      <c r="A769" t="s">
        <v>773</v>
      </c>
      <c r="B769" t="s">
        <v>1021</v>
      </c>
      <c r="C769">
        <v>92</v>
      </c>
      <c r="D769" t="s">
        <v>1029</v>
      </c>
      <c r="E769" t="s">
        <v>1186</v>
      </c>
      <c r="F769">
        <v>28</v>
      </c>
      <c r="G769">
        <v>2.4</v>
      </c>
      <c r="H769">
        <f>ROUND(Calls[[#This Row],[Satisfactory Rating]],0)</f>
        <v>2</v>
      </c>
      <c r="I769" t="str" cm="1">
        <f t="array" ref="I769">_xlfn.IFS(Calls[[#This Row],[Duration (Min)]]&lt;=30,"Under 30 mins",Calls[[#This Row],[Duration (Min)]]&lt;=60,"Under 1h",Calls[[#This Row],[Duration (Min)]]&lt;=120,"Under 2",TRUE,"More than 2h")</f>
        <v>Under 2</v>
      </c>
      <c r="J769">
        <f>IF(MONTH(Calls[[#This Row],[Date of Call]])&lt;=3,YEAR(Calls[[#This Row],[Date of Call]]),YEAR(Calls[[#This Row],[Date of Call]])+1)</f>
        <v>2026</v>
      </c>
      <c r="K769" t="str">
        <f>TEXT(Calls[[#This Row],[Date of Call]],"dddd")</f>
        <v>Tuesday</v>
      </c>
      <c r="L769" t="str">
        <f>TEXT(Calls[[#This Row],[Date of Call]],"mmm")</f>
        <v>Jun</v>
      </c>
    </row>
    <row r="770" spans="1:12" x14ac:dyDescent="0.3">
      <c r="A770" t="s">
        <v>774</v>
      </c>
      <c r="B770" t="s">
        <v>1012</v>
      </c>
      <c r="C770">
        <v>89</v>
      </c>
      <c r="D770" t="s">
        <v>1030</v>
      </c>
      <c r="E770" t="s">
        <v>1186</v>
      </c>
      <c r="F770">
        <v>27</v>
      </c>
      <c r="G770">
        <v>4.2</v>
      </c>
      <c r="H770">
        <f>ROUND(Calls[[#This Row],[Satisfactory Rating]],0)</f>
        <v>4</v>
      </c>
      <c r="I770" t="str" cm="1">
        <f t="array" ref="I770">_xlfn.IFS(Calls[[#This Row],[Duration (Min)]]&lt;=30,"Under 30 mins",Calls[[#This Row],[Duration (Min)]]&lt;=60,"Under 1h",Calls[[#This Row],[Duration (Min)]]&lt;=120,"Under 2",TRUE,"More than 2h")</f>
        <v>Under 2</v>
      </c>
      <c r="J770">
        <f>IF(MONTH(Calls[[#This Row],[Date of Call]])&lt;=3,YEAR(Calls[[#This Row],[Date of Call]]),YEAR(Calls[[#This Row],[Date of Call]])+1)</f>
        <v>2026</v>
      </c>
      <c r="K770" t="str">
        <f>TEXT(Calls[[#This Row],[Date of Call]],"dddd")</f>
        <v>Tuesday</v>
      </c>
      <c r="L770" t="str">
        <f>TEXT(Calls[[#This Row],[Date of Call]],"mmm")</f>
        <v>Jun</v>
      </c>
    </row>
    <row r="771" spans="1:12" x14ac:dyDescent="0.3">
      <c r="A771" t="s">
        <v>775</v>
      </c>
      <c r="B771" t="s">
        <v>1010</v>
      </c>
      <c r="C771">
        <v>77</v>
      </c>
      <c r="D771" t="s">
        <v>1032</v>
      </c>
      <c r="E771" t="s">
        <v>1186</v>
      </c>
      <c r="F771">
        <v>128</v>
      </c>
      <c r="G771">
        <v>3.5</v>
      </c>
      <c r="H771">
        <f>ROUND(Calls[[#This Row],[Satisfactory Rating]],0)</f>
        <v>4</v>
      </c>
      <c r="I771" t="str" cm="1">
        <f t="array" ref="I771">_xlfn.IFS(Calls[[#This Row],[Duration (Min)]]&lt;=30,"Under 30 mins",Calls[[#This Row],[Duration (Min)]]&lt;=60,"Under 1h",Calls[[#This Row],[Duration (Min)]]&lt;=120,"Under 2",TRUE,"More than 2h")</f>
        <v>Under 2</v>
      </c>
      <c r="J771">
        <f>IF(MONTH(Calls[[#This Row],[Date of Call]])&lt;=3,YEAR(Calls[[#This Row],[Date of Call]]),YEAR(Calls[[#This Row],[Date of Call]])+1)</f>
        <v>2026</v>
      </c>
      <c r="K771" t="str">
        <f>TEXT(Calls[[#This Row],[Date of Call]],"dddd")</f>
        <v>Tuesday</v>
      </c>
      <c r="L771" t="str">
        <f>TEXT(Calls[[#This Row],[Date of Call]],"mmm")</f>
        <v>Jun</v>
      </c>
    </row>
    <row r="772" spans="1:12" x14ac:dyDescent="0.3">
      <c r="A772" t="s">
        <v>776</v>
      </c>
      <c r="B772" t="s">
        <v>1022</v>
      </c>
      <c r="C772">
        <v>33</v>
      </c>
      <c r="D772" t="s">
        <v>1031</v>
      </c>
      <c r="E772" t="s">
        <v>1187</v>
      </c>
      <c r="F772">
        <v>115</v>
      </c>
      <c r="G772">
        <v>2.4</v>
      </c>
      <c r="H772">
        <f>ROUND(Calls[[#This Row],[Satisfactory Rating]],0)</f>
        <v>2</v>
      </c>
      <c r="I772" t="str" cm="1">
        <f t="array" ref="I772">_xlfn.IFS(Calls[[#This Row],[Duration (Min)]]&lt;=30,"Under 30 mins",Calls[[#This Row],[Duration (Min)]]&lt;=60,"Under 1h",Calls[[#This Row],[Duration (Min)]]&lt;=120,"Under 2",TRUE,"More than 2h")</f>
        <v>Under 1h</v>
      </c>
      <c r="J772">
        <f>IF(MONTH(Calls[[#This Row],[Date of Call]])&lt;=3,YEAR(Calls[[#This Row],[Date of Call]]),YEAR(Calls[[#This Row],[Date of Call]])+1)</f>
        <v>2026</v>
      </c>
      <c r="K772" t="str">
        <f>TEXT(Calls[[#This Row],[Date of Call]],"dddd")</f>
        <v>Wednesday</v>
      </c>
      <c r="L772" t="str">
        <f>TEXT(Calls[[#This Row],[Date of Call]],"mmm")</f>
        <v>Jun</v>
      </c>
    </row>
    <row r="773" spans="1:12" x14ac:dyDescent="0.3">
      <c r="A773" t="s">
        <v>777</v>
      </c>
      <c r="B773" t="s">
        <v>1017</v>
      </c>
      <c r="C773">
        <v>47</v>
      </c>
      <c r="D773" t="s">
        <v>1032</v>
      </c>
      <c r="E773" t="s">
        <v>1187</v>
      </c>
      <c r="F773">
        <v>150</v>
      </c>
      <c r="G773">
        <v>4.3</v>
      </c>
      <c r="H773">
        <f>ROUND(Calls[[#This Row],[Satisfactory Rating]],0)</f>
        <v>4</v>
      </c>
      <c r="I773" t="str" cm="1">
        <f t="array" ref="I773">_xlfn.IFS(Calls[[#This Row],[Duration (Min)]]&lt;=30,"Under 30 mins",Calls[[#This Row],[Duration (Min)]]&lt;=60,"Under 1h",Calls[[#This Row],[Duration (Min)]]&lt;=120,"Under 2",TRUE,"More than 2h")</f>
        <v>Under 1h</v>
      </c>
      <c r="J773">
        <f>IF(MONTH(Calls[[#This Row],[Date of Call]])&lt;=3,YEAR(Calls[[#This Row],[Date of Call]]),YEAR(Calls[[#This Row],[Date of Call]])+1)</f>
        <v>2026</v>
      </c>
      <c r="K773" t="str">
        <f>TEXT(Calls[[#This Row],[Date of Call]],"dddd")</f>
        <v>Wednesday</v>
      </c>
      <c r="L773" t="str">
        <f>TEXT(Calls[[#This Row],[Date of Call]],"mmm")</f>
        <v>Jun</v>
      </c>
    </row>
    <row r="774" spans="1:12" x14ac:dyDescent="0.3">
      <c r="A774" t="s">
        <v>778</v>
      </c>
      <c r="B774" t="s">
        <v>1007</v>
      </c>
      <c r="C774">
        <v>95</v>
      </c>
      <c r="D774" t="s">
        <v>1029</v>
      </c>
      <c r="E774" t="s">
        <v>1187</v>
      </c>
      <c r="F774">
        <v>130</v>
      </c>
      <c r="G774">
        <v>3.7</v>
      </c>
      <c r="H774">
        <f>ROUND(Calls[[#This Row],[Satisfactory Rating]],0)</f>
        <v>4</v>
      </c>
      <c r="I774" t="str" cm="1">
        <f t="array" ref="I774">_xlfn.IFS(Calls[[#This Row],[Duration (Min)]]&lt;=30,"Under 30 mins",Calls[[#This Row],[Duration (Min)]]&lt;=60,"Under 1h",Calls[[#This Row],[Duration (Min)]]&lt;=120,"Under 2",TRUE,"More than 2h")</f>
        <v>Under 2</v>
      </c>
      <c r="J774">
        <f>IF(MONTH(Calls[[#This Row],[Date of Call]])&lt;=3,YEAR(Calls[[#This Row],[Date of Call]]),YEAR(Calls[[#This Row],[Date of Call]])+1)</f>
        <v>2026</v>
      </c>
      <c r="K774" t="str">
        <f>TEXT(Calls[[#This Row],[Date of Call]],"dddd")</f>
        <v>Wednesday</v>
      </c>
      <c r="L774" t="str">
        <f>TEXT(Calls[[#This Row],[Date of Call]],"mmm")</f>
        <v>Jun</v>
      </c>
    </row>
    <row r="775" spans="1:12" x14ac:dyDescent="0.3">
      <c r="A775" t="s">
        <v>779</v>
      </c>
      <c r="B775" t="s">
        <v>1023</v>
      </c>
      <c r="C775">
        <v>27</v>
      </c>
      <c r="D775" t="s">
        <v>1027</v>
      </c>
      <c r="E775" t="s">
        <v>1187</v>
      </c>
      <c r="F775">
        <v>45</v>
      </c>
      <c r="G775">
        <v>4.5</v>
      </c>
      <c r="H775">
        <f>ROUND(Calls[[#This Row],[Satisfactory Rating]],0)</f>
        <v>5</v>
      </c>
      <c r="I775" t="str" cm="1">
        <f t="array" ref="I775">_xlfn.IFS(Calls[[#This Row],[Duration (Min)]]&lt;=30,"Under 30 mins",Calls[[#This Row],[Duration (Min)]]&lt;=60,"Under 1h",Calls[[#This Row],[Duration (Min)]]&lt;=120,"Under 2",TRUE,"More than 2h")</f>
        <v>Under 30 mins</v>
      </c>
      <c r="J775">
        <f>IF(MONTH(Calls[[#This Row],[Date of Call]])&lt;=3,YEAR(Calls[[#This Row],[Date of Call]]),YEAR(Calls[[#This Row],[Date of Call]])+1)</f>
        <v>2026</v>
      </c>
      <c r="K775" t="str">
        <f>TEXT(Calls[[#This Row],[Date of Call]],"dddd")</f>
        <v>Wednesday</v>
      </c>
      <c r="L775" t="str">
        <f>TEXT(Calls[[#This Row],[Date of Call]],"mmm")</f>
        <v>Jun</v>
      </c>
    </row>
    <row r="776" spans="1:12" x14ac:dyDescent="0.3">
      <c r="A776" t="s">
        <v>780</v>
      </c>
      <c r="B776" t="s">
        <v>1025</v>
      </c>
      <c r="C776">
        <v>46</v>
      </c>
      <c r="D776" t="s">
        <v>1031</v>
      </c>
      <c r="E776" t="s">
        <v>1187</v>
      </c>
      <c r="F776">
        <v>49</v>
      </c>
      <c r="G776">
        <v>2.2999999999999998</v>
      </c>
      <c r="H776">
        <f>ROUND(Calls[[#This Row],[Satisfactory Rating]],0)</f>
        <v>2</v>
      </c>
      <c r="I776" t="str" cm="1">
        <f t="array" ref="I776">_xlfn.IFS(Calls[[#This Row],[Duration (Min)]]&lt;=30,"Under 30 mins",Calls[[#This Row],[Duration (Min)]]&lt;=60,"Under 1h",Calls[[#This Row],[Duration (Min)]]&lt;=120,"Under 2",TRUE,"More than 2h")</f>
        <v>Under 1h</v>
      </c>
      <c r="J776">
        <f>IF(MONTH(Calls[[#This Row],[Date of Call]])&lt;=3,YEAR(Calls[[#This Row],[Date of Call]]),YEAR(Calls[[#This Row],[Date of Call]])+1)</f>
        <v>2026</v>
      </c>
      <c r="K776" t="str">
        <f>TEXT(Calls[[#This Row],[Date of Call]],"dddd")</f>
        <v>Wednesday</v>
      </c>
      <c r="L776" t="str">
        <f>TEXT(Calls[[#This Row],[Date of Call]],"mmm")</f>
        <v>Jun</v>
      </c>
    </row>
    <row r="777" spans="1:12" x14ac:dyDescent="0.3">
      <c r="A777" t="s">
        <v>781</v>
      </c>
      <c r="B777" t="s">
        <v>1025</v>
      </c>
      <c r="C777">
        <v>147</v>
      </c>
      <c r="D777" t="s">
        <v>1029</v>
      </c>
      <c r="E777" t="s">
        <v>1188</v>
      </c>
      <c r="F777">
        <v>34</v>
      </c>
      <c r="G777">
        <v>3.4</v>
      </c>
      <c r="H777">
        <f>ROUND(Calls[[#This Row],[Satisfactory Rating]],0)</f>
        <v>3</v>
      </c>
      <c r="I777" t="str" cm="1">
        <f t="array" ref="I777">_xlfn.IFS(Calls[[#This Row],[Duration (Min)]]&lt;=30,"Under 30 mins",Calls[[#This Row],[Duration (Min)]]&lt;=60,"Under 1h",Calls[[#This Row],[Duration (Min)]]&lt;=120,"Under 2",TRUE,"More than 2h")</f>
        <v>More than 2h</v>
      </c>
      <c r="J777">
        <f>IF(MONTH(Calls[[#This Row],[Date of Call]])&lt;=3,YEAR(Calls[[#This Row],[Date of Call]]),YEAR(Calls[[#This Row],[Date of Call]])+1)</f>
        <v>2026</v>
      </c>
      <c r="K777" t="str">
        <f>TEXT(Calls[[#This Row],[Date of Call]],"dddd")</f>
        <v>Thursday</v>
      </c>
      <c r="L777" t="str">
        <f>TEXT(Calls[[#This Row],[Date of Call]],"mmm")</f>
        <v>Jun</v>
      </c>
    </row>
    <row r="778" spans="1:12" x14ac:dyDescent="0.3">
      <c r="A778" t="s">
        <v>782</v>
      </c>
      <c r="B778" t="s">
        <v>1012</v>
      </c>
      <c r="C778">
        <v>133</v>
      </c>
      <c r="D778" t="s">
        <v>1032</v>
      </c>
      <c r="E778" t="s">
        <v>1188</v>
      </c>
      <c r="F778">
        <v>73</v>
      </c>
      <c r="G778">
        <v>3.6</v>
      </c>
      <c r="H778">
        <f>ROUND(Calls[[#This Row],[Satisfactory Rating]],0)</f>
        <v>4</v>
      </c>
      <c r="I778" t="str" cm="1">
        <f t="array" ref="I778">_xlfn.IFS(Calls[[#This Row],[Duration (Min)]]&lt;=30,"Under 30 mins",Calls[[#This Row],[Duration (Min)]]&lt;=60,"Under 1h",Calls[[#This Row],[Duration (Min)]]&lt;=120,"Under 2",TRUE,"More than 2h")</f>
        <v>More than 2h</v>
      </c>
      <c r="J778">
        <f>IF(MONTH(Calls[[#This Row],[Date of Call]])&lt;=3,YEAR(Calls[[#This Row],[Date of Call]]),YEAR(Calls[[#This Row],[Date of Call]])+1)</f>
        <v>2026</v>
      </c>
      <c r="K778" t="str">
        <f>TEXT(Calls[[#This Row],[Date of Call]],"dddd")</f>
        <v>Thursday</v>
      </c>
      <c r="L778" t="str">
        <f>TEXT(Calls[[#This Row],[Date of Call]],"mmm")</f>
        <v>Jun</v>
      </c>
    </row>
    <row r="779" spans="1:12" x14ac:dyDescent="0.3">
      <c r="A779" t="s">
        <v>783</v>
      </c>
      <c r="B779" t="s">
        <v>1012</v>
      </c>
      <c r="C779">
        <v>24</v>
      </c>
      <c r="D779" t="s">
        <v>1032</v>
      </c>
      <c r="E779" t="s">
        <v>1188</v>
      </c>
      <c r="F779">
        <v>66</v>
      </c>
      <c r="G779">
        <v>3.3</v>
      </c>
      <c r="H779">
        <f>ROUND(Calls[[#This Row],[Satisfactory Rating]],0)</f>
        <v>3</v>
      </c>
      <c r="I779" t="str" cm="1">
        <f t="array" ref="I779">_xlfn.IFS(Calls[[#This Row],[Duration (Min)]]&lt;=30,"Under 30 mins",Calls[[#This Row],[Duration (Min)]]&lt;=60,"Under 1h",Calls[[#This Row],[Duration (Min)]]&lt;=120,"Under 2",TRUE,"More than 2h")</f>
        <v>Under 30 mins</v>
      </c>
      <c r="J779">
        <f>IF(MONTH(Calls[[#This Row],[Date of Call]])&lt;=3,YEAR(Calls[[#This Row],[Date of Call]]),YEAR(Calls[[#This Row],[Date of Call]])+1)</f>
        <v>2026</v>
      </c>
      <c r="K779" t="str">
        <f>TEXT(Calls[[#This Row],[Date of Call]],"dddd")</f>
        <v>Thursday</v>
      </c>
      <c r="L779" t="str">
        <f>TEXT(Calls[[#This Row],[Date of Call]],"mmm")</f>
        <v>Jun</v>
      </c>
    </row>
    <row r="780" spans="1:12" x14ac:dyDescent="0.3">
      <c r="A780" t="s">
        <v>784</v>
      </c>
      <c r="B780" t="s">
        <v>1015</v>
      </c>
      <c r="C780">
        <v>144</v>
      </c>
      <c r="D780" t="s">
        <v>1028</v>
      </c>
      <c r="E780" t="s">
        <v>1188</v>
      </c>
      <c r="F780">
        <v>133</v>
      </c>
      <c r="G780">
        <v>2</v>
      </c>
      <c r="H780">
        <f>ROUND(Calls[[#This Row],[Satisfactory Rating]],0)</f>
        <v>2</v>
      </c>
      <c r="I780" t="str" cm="1">
        <f t="array" ref="I780">_xlfn.IFS(Calls[[#This Row],[Duration (Min)]]&lt;=30,"Under 30 mins",Calls[[#This Row],[Duration (Min)]]&lt;=60,"Under 1h",Calls[[#This Row],[Duration (Min)]]&lt;=120,"Under 2",TRUE,"More than 2h")</f>
        <v>More than 2h</v>
      </c>
      <c r="J780">
        <f>IF(MONTH(Calls[[#This Row],[Date of Call]])&lt;=3,YEAR(Calls[[#This Row],[Date of Call]]),YEAR(Calls[[#This Row],[Date of Call]])+1)</f>
        <v>2026</v>
      </c>
      <c r="K780" t="str">
        <f>TEXT(Calls[[#This Row],[Date of Call]],"dddd")</f>
        <v>Thursday</v>
      </c>
      <c r="L780" t="str">
        <f>TEXT(Calls[[#This Row],[Date of Call]],"mmm")</f>
        <v>Jun</v>
      </c>
    </row>
    <row r="781" spans="1:12" x14ac:dyDescent="0.3">
      <c r="A781" t="s">
        <v>785</v>
      </c>
      <c r="B781" t="s">
        <v>1024</v>
      </c>
      <c r="C781">
        <v>114</v>
      </c>
      <c r="D781" t="s">
        <v>1032</v>
      </c>
      <c r="E781" t="s">
        <v>1188</v>
      </c>
      <c r="F781">
        <v>86</v>
      </c>
      <c r="G781">
        <v>2.1</v>
      </c>
      <c r="H781">
        <f>ROUND(Calls[[#This Row],[Satisfactory Rating]],0)</f>
        <v>2</v>
      </c>
      <c r="I781" t="str" cm="1">
        <f t="array" ref="I781">_xlfn.IFS(Calls[[#This Row],[Duration (Min)]]&lt;=30,"Under 30 mins",Calls[[#This Row],[Duration (Min)]]&lt;=60,"Under 1h",Calls[[#This Row],[Duration (Min)]]&lt;=120,"Under 2",TRUE,"More than 2h")</f>
        <v>Under 2</v>
      </c>
      <c r="J781">
        <f>IF(MONTH(Calls[[#This Row],[Date of Call]])&lt;=3,YEAR(Calls[[#This Row],[Date of Call]]),YEAR(Calls[[#This Row],[Date of Call]])+1)</f>
        <v>2026</v>
      </c>
      <c r="K781" t="str">
        <f>TEXT(Calls[[#This Row],[Date of Call]],"dddd")</f>
        <v>Thursday</v>
      </c>
      <c r="L781" t="str">
        <f>TEXT(Calls[[#This Row],[Date of Call]],"mmm")</f>
        <v>Jun</v>
      </c>
    </row>
    <row r="782" spans="1:12" x14ac:dyDescent="0.3">
      <c r="A782" t="s">
        <v>786</v>
      </c>
      <c r="B782" t="s">
        <v>1015</v>
      </c>
      <c r="C782">
        <v>106</v>
      </c>
      <c r="D782" t="s">
        <v>1027</v>
      </c>
      <c r="E782" t="s">
        <v>1189</v>
      </c>
      <c r="F782">
        <v>146</v>
      </c>
      <c r="G782">
        <v>4.9000000000000004</v>
      </c>
      <c r="H782">
        <f>ROUND(Calls[[#This Row],[Satisfactory Rating]],0)</f>
        <v>5</v>
      </c>
      <c r="I782" t="str" cm="1">
        <f t="array" ref="I782">_xlfn.IFS(Calls[[#This Row],[Duration (Min)]]&lt;=30,"Under 30 mins",Calls[[#This Row],[Duration (Min)]]&lt;=60,"Under 1h",Calls[[#This Row],[Duration (Min)]]&lt;=120,"Under 2",TRUE,"More than 2h")</f>
        <v>Under 2</v>
      </c>
      <c r="J782">
        <f>IF(MONTH(Calls[[#This Row],[Date of Call]])&lt;=3,YEAR(Calls[[#This Row],[Date of Call]]),YEAR(Calls[[#This Row],[Date of Call]])+1)</f>
        <v>2026</v>
      </c>
      <c r="K782" t="str">
        <f>TEXT(Calls[[#This Row],[Date of Call]],"dddd")</f>
        <v>Friday</v>
      </c>
      <c r="L782" t="str">
        <f>TEXT(Calls[[#This Row],[Date of Call]],"mmm")</f>
        <v>Jun</v>
      </c>
    </row>
    <row r="783" spans="1:12" x14ac:dyDescent="0.3">
      <c r="A783" t="s">
        <v>787</v>
      </c>
      <c r="B783" t="s">
        <v>1006</v>
      </c>
      <c r="C783">
        <v>100</v>
      </c>
      <c r="D783" t="s">
        <v>1028</v>
      </c>
      <c r="E783" t="s">
        <v>1189</v>
      </c>
      <c r="F783">
        <v>136</v>
      </c>
      <c r="G783">
        <v>2.5</v>
      </c>
      <c r="H783">
        <f>ROUND(Calls[[#This Row],[Satisfactory Rating]],0)</f>
        <v>3</v>
      </c>
      <c r="I783" t="str" cm="1">
        <f t="array" ref="I783">_xlfn.IFS(Calls[[#This Row],[Duration (Min)]]&lt;=30,"Under 30 mins",Calls[[#This Row],[Duration (Min)]]&lt;=60,"Under 1h",Calls[[#This Row],[Duration (Min)]]&lt;=120,"Under 2",TRUE,"More than 2h")</f>
        <v>Under 2</v>
      </c>
      <c r="J783">
        <f>IF(MONTH(Calls[[#This Row],[Date of Call]])&lt;=3,YEAR(Calls[[#This Row],[Date of Call]]),YEAR(Calls[[#This Row],[Date of Call]])+1)</f>
        <v>2026</v>
      </c>
      <c r="K783" t="str">
        <f>TEXT(Calls[[#This Row],[Date of Call]],"dddd")</f>
        <v>Friday</v>
      </c>
      <c r="L783" t="str">
        <f>TEXT(Calls[[#This Row],[Date of Call]],"mmm")</f>
        <v>Jun</v>
      </c>
    </row>
    <row r="784" spans="1:12" x14ac:dyDescent="0.3">
      <c r="A784" t="s">
        <v>788</v>
      </c>
      <c r="B784" t="s">
        <v>1021</v>
      </c>
      <c r="C784">
        <v>80</v>
      </c>
      <c r="D784" t="s">
        <v>1026</v>
      </c>
      <c r="E784" t="s">
        <v>1189</v>
      </c>
      <c r="F784">
        <v>80</v>
      </c>
      <c r="G784">
        <v>4.8</v>
      </c>
      <c r="H784">
        <f>ROUND(Calls[[#This Row],[Satisfactory Rating]],0)</f>
        <v>5</v>
      </c>
      <c r="I784" t="str" cm="1">
        <f t="array" ref="I784">_xlfn.IFS(Calls[[#This Row],[Duration (Min)]]&lt;=30,"Under 30 mins",Calls[[#This Row],[Duration (Min)]]&lt;=60,"Under 1h",Calls[[#This Row],[Duration (Min)]]&lt;=120,"Under 2",TRUE,"More than 2h")</f>
        <v>Under 2</v>
      </c>
      <c r="J784">
        <f>IF(MONTH(Calls[[#This Row],[Date of Call]])&lt;=3,YEAR(Calls[[#This Row],[Date of Call]]),YEAR(Calls[[#This Row],[Date of Call]])+1)</f>
        <v>2026</v>
      </c>
      <c r="K784" t="str">
        <f>TEXT(Calls[[#This Row],[Date of Call]],"dddd")</f>
        <v>Friday</v>
      </c>
      <c r="L784" t="str">
        <f>TEXT(Calls[[#This Row],[Date of Call]],"mmm")</f>
        <v>Jun</v>
      </c>
    </row>
    <row r="785" spans="1:12" x14ac:dyDescent="0.3">
      <c r="A785" t="s">
        <v>789</v>
      </c>
      <c r="B785" t="s">
        <v>1017</v>
      </c>
      <c r="C785">
        <v>133</v>
      </c>
      <c r="D785" t="s">
        <v>1026</v>
      </c>
      <c r="E785" t="s">
        <v>1189</v>
      </c>
      <c r="F785">
        <v>24</v>
      </c>
      <c r="G785">
        <v>2.9</v>
      </c>
      <c r="H785">
        <f>ROUND(Calls[[#This Row],[Satisfactory Rating]],0)</f>
        <v>3</v>
      </c>
      <c r="I785" t="str" cm="1">
        <f t="array" ref="I785">_xlfn.IFS(Calls[[#This Row],[Duration (Min)]]&lt;=30,"Under 30 mins",Calls[[#This Row],[Duration (Min)]]&lt;=60,"Under 1h",Calls[[#This Row],[Duration (Min)]]&lt;=120,"Under 2",TRUE,"More than 2h")</f>
        <v>More than 2h</v>
      </c>
      <c r="J785">
        <f>IF(MONTH(Calls[[#This Row],[Date of Call]])&lt;=3,YEAR(Calls[[#This Row],[Date of Call]]),YEAR(Calls[[#This Row],[Date of Call]])+1)</f>
        <v>2026</v>
      </c>
      <c r="K785" t="str">
        <f>TEXT(Calls[[#This Row],[Date of Call]],"dddd")</f>
        <v>Friday</v>
      </c>
      <c r="L785" t="str">
        <f>TEXT(Calls[[#This Row],[Date of Call]],"mmm")</f>
        <v>Jun</v>
      </c>
    </row>
    <row r="786" spans="1:12" x14ac:dyDescent="0.3">
      <c r="A786" t="s">
        <v>790</v>
      </c>
      <c r="B786" t="s">
        <v>1017</v>
      </c>
      <c r="C786">
        <v>154</v>
      </c>
      <c r="D786" t="s">
        <v>1027</v>
      </c>
      <c r="E786" t="s">
        <v>1189</v>
      </c>
      <c r="F786">
        <v>101</v>
      </c>
      <c r="G786">
        <v>2.2000000000000002</v>
      </c>
      <c r="H786">
        <f>ROUND(Calls[[#This Row],[Satisfactory Rating]],0)</f>
        <v>2</v>
      </c>
      <c r="I786" t="str" cm="1">
        <f t="array" ref="I786">_xlfn.IFS(Calls[[#This Row],[Duration (Min)]]&lt;=30,"Under 30 mins",Calls[[#This Row],[Duration (Min)]]&lt;=60,"Under 1h",Calls[[#This Row],[Duration (Min)]]&lt;=120,"Under 2",TRUE,"More than 2h")</f>
        <v>More than 2h</v>
      </c>
      <c r="J786">
        <f>IF(MONTH(Calls[[#This Row],[Date of Call]])&lt;=3,YEAR(Calls[[#This Row],[Date of Call]]),YEAR(Calls[[#This Row],[Date of Call]])+1)</f>
        <v>2026</v>
      </c>
      <c r="K786" t="str">
        <f>TEXT(Calls[[#This Row],[Date of Call]],"dddd")</f>
        <v>Friday</v>
      </c>
      <c r="L786" t="str">
        <f>TEXT(Calls[[#This Row],[Date of Call]],"mmm")</f>
        <v>Jun</v>
      </c>
    </row>
    <row r="787" spans="1:12" x14ac:dyDescent="0.3">
      <c r="A787" t="s">
        <v>791</v>
      </c>
      <c r="B787" t="s">
        <v>1025</v>
      </c>
      <c r="C787">
        <v>51</v>
      </c>
      <c r="D787" t="s">
        <v>1027</v>
      </c>
      <c r="E787" t="s">
        <v>1190</v>
      </c>
      <c r="F787">
        <v>59</v>
      </c>
      <c r="G787">
        <v>4.9000000000000004</v>
      </c>
      <c r="H787">
        <f>ROUND(Calls[[#This Row],[Satisfactory Rating]],0)</f>
        <v>5</v>
      </c>
      <c r="I787" t="str" cm="1">
        <f t="array" ref="I787">_xlfn.IFS(Calls[[#This Row],[Duration (Min)]]&lt;=30,"Under 30 mins",Calls[[#This Row],[Duration (Min)]]&lt;=60,"Under 1h",Calls[[#This Row],[Duration (Min)]]&lt;=120,"Under 2",TRUE,"More than 2h")</f>
        <v>Under 1h</v>
      </c>
      <c r="J787">
        <f>IF(MONTH(Calls[[#This Row],[Date of Call]])&lt;=3,YEAR(Calls[[#This Row],[Date of Call]]),YEAR(Calls[[#This Row],[Date of Call]])+1)</f>
        <v>2026</v>
      </c>
      <c r="K787" t="str">
        <f>TEXT(Calls[[#This Row],[Date of Call]],"dddd")</f>
        <v>Saturday</v>
      </c>
      <c r="L787" t="str">
        <f>TEXT(Calls[[#This Row],[Date of Call]],"mmm")</f>
        <v>Jun</v>
      </c>
    </row>
    <row r="788" spans="1:12" x14ac:dyDescent="0.3">
      <c r="A788" t="s">
        <v>792</v>
      </c>
      <c r="B788" t="s">
        <v>1019</v>
      </c>
      <c r="C788">
        <v>11</v>
      </c>
      <c r="D788" t="s">
        <v>1027</v>
      </c>
      <c r="E788" t="s">
        <v>1190</v>
      </c>
      <c r="F788">
        <v>97</v>
      </c>
      <c r="G788">
        <v>2.4</v>
      </c>
      <c r="H788">
        <f>ROUND(Calls[[#This Row],[Satisfactory Rating]],0)</f>
        <v>2</v>
      </c>
      <c r="I788" t="str" cm="1">
        <f t="array" ref="I788">_xlfn.IFS(Calls[[#This Row],[Duration (Min)]]&lt;=30,"Under 30 mins",Calls[[#This Row],[Duration (Min)]]&lt;=60,"Under 1h",Calls[[#This Row],[Duration (Min)]]&lt;=120,"Under 2",TRUE,"More than 2h")</f>
        <v>Under 30 mins</v>
      </c>
      <c r="J788">
        <f>IF(MONTH(Calls[[#This Row],[Date of Call]])&lt;=3,YEAR(Calls[[#This Row],[Date of Call]]),YEAR(Calls[[#This Row],[Date of Call]])+1)</f>
        <v>2026</v>
      </c>
      <c r="K788" t="str">
        <f>TEXT(Calls[[#This Row],[Date of Call]],"dddd")</f>
        <v>Saturday</v>
      </c>
      <c r="L788" t="str">
        <f>TEXT(Calls[[#This Row],[Date of Call]],"mmm")</f>
        <v>Jun</v>
      </c>
    </row>
    <row r="789" spans="1:12" x14ac:dyDescent="0.3">
      <c r="A789" t="s">
        <v>793</v>
      </c>
      <c r="B789" t="s">
        <v>1011</v>
      </c>
      <c r="C789">
        <v>13</v>
      </c>
      <c r="D789" t="s">
        <v>1026</v>
      </c>
      <c r="E789" t="s">
        <v>1190</v>
      </c>
      <c r="F789">
        <v>33</v>
      </c>
      <c r="G789">
        <v>1.3</v>
      </c>
      <c r="H789">
        <f>ROUND(Calls[[#This Row],[Satisfactory Rating]],0)</f>
        <v>1</v>
      </c>
      <c r="I789" t="str" cm="1">
        <f t="array" ref="I789">_xlfn.IFS(Calls[[#This Row],[Duration (Min)]]&lt;=30,"Under 30 mins",Calls[[#This Row],[Duration (Min)]]&lt;=60,"Under 1h",Calls[[#This Row],[Duration (Min)]]&lt;=120,"Under 2",TRUE,"More than 2h")</f>
        <v>Under 30 mins</v>
      </c>
      <c r="J789">
        <f>IF(MONTH(Calls[[#This Row],[Date of Call]])&lt;=3,YEAR(Calls[[#This Row],[Date of Call]]),YEAR(Calls[[#This Row],[Date of Call]])+1)</f>
        <v>2026</v>
      </c>
      <c r="K789" t="str">
        <f>TEXT(Calls[[#This Row],[Date of Call]],"dddd")</f>
        <v>Saturday</v>
      </c>
      <c r="L789" t="str">
        <f>TEXT(Calls[[#This Row],[Date of Call]],"mmm")</f>
        <v>Jun</v>
      </c>
    </row>
    <row r="790" spans="1:12" x14ac:dyDescent="0.3">
      <c r="A790" t="s">
        <v>794</v>
      </c>
      <c r="B790" t="s">
        <v>1013</v>
      </c>
      <c r="C790">
        <v>15</v>
      </c>
      <c r="D790" t="s">
        <v>1031</v>
      </c>
      <c r="E790" t="s">
        <v>1190</v>
      </c>
      <c r="F790">
        <v>115</v>
      </c>
      <c r="G790">
        <v>1</v>
      </c>
      <c r="H790">
        <f>ROUND(Calls[[#This Row],[Satisfactory Rating]],0)</f>
        <v>1</v>
      </c>
      <c r="I790" t="str" cm="1">
        <f t="array" ref="I790">_xlfn.IFS(Calls[[#This Row],[Duration (Min)]]&lt;=30,"Under 30 mins",Calls[[#This Row],[Duration (Min)]]&lt;=60,"Under 1h",Calls[[#This Row],[Duration (Min)]]&lt;=120,"Under 2",TRUE,"More than 2h")</f>
        <v>Under 30 mins</v>
      </c>
      <c r="J790">
        <f>IF(MONTH(Calls[[#This Row],[Date of Call]])&lt;=3,YEAR(Calls[[#This Row],[Date of Call]]),YEAR(Calls[[#This Row],[Date of Call]])+1)</f>
        <v>2026</v>
      </c>
      <c r="K790" t="str">
        <f>TEXT(Calls[[#This Row],[Date of Call]],"dddd")</f>
        <v>Saturday</v>
      </c>
      <c r="L790" t="str">
        <f>TEXT(Calls[[#This Row],[Date of Call]],"mmm")</f>
        <v>Jun</v>
      </c>
    </row>
    <row r="791" spans="1:12" x14ac:dyDescent="0.3">
      <c r="A791" t="s">
        <v>795</v>
      </c>
      <c r="B791" t="s">
        <v>1016</v>
      </c>
      <c r="C791">
        <v>80</v>
      </c>
      <c r="D791" t="s">
        <v>1030</v>
      </c>
      <c r="E791" t="s">
        <v>1190</v>
      </c>
      <c r="F791">
        <v>52</v>
      </c>
      <c r="G791">
        <v>3.3</v>
      </c>
      <c r="H791">
        <f>ROUND(Calls[[#This Row],[Satisfactory Rating]],0)</f>
        <v>3</v>
      </c>
      <c r="I791" t="str" cm="1">
        <f t="array" ref="I791">_xlfn.IFS(Calls[[#This Row],[Duration (Min)]]&lt;=30,"Under 30 mins",Calls[[#This Row],[Duration (Min)]]&lt;=60,"Under 1h",Calls[[#This Row],[Duration (Min)]]&lt;=120,"Under 2",TRUE,"More than 2h")</f>
        <v>Under 2</v>
      </c>
      <c r="J791">
        <f>IF(MONTH(Calls[[#This Row],[Date of Call]])&lt;=3,YEAR(Calls[[#This Row],[Date of Call]]),YEAR(Calls[[#This Row],[Date of Call]])+1)</f>
        <v>2026</v>
      </c>
      <c r="K791" t="str">
        <f>TEXT(Calls[[#This Row],[Date of Call]],"dddd")</f>
        <v>Saturday</v>
      </c>
      <c r="L791" t="str">
        <f>TEXT(Calls[[#This Row],[Date of Call]],"mmm")</f>
        <v>Jun</v>
      </c>
    </row>
    <row r="792" spans="1:12" x14ac:dyDescent="0.3">
      <c r="A792" t="s">
        <v>796</v>
      </c>
      <c r="B792" t="s">
        <v>1007</v>
      </c>
      <c r="C792">
        <v>26</v>
      </c>
      <c r="D792" t="s">
        <v>1031</v>
      </c>
      <c r="E792" t="s">
        <v>1191</v>
      </c>
      <c r="F792">
        <v>108</v>
      </c>
      <c r="G792">
        <v>2.2999999999999998</v>
      </c>
      <c r="H792">
        <f>ROUND(Calls[[#This Row],[Satisfactory Rating]],0)</f>
        <v>2</v>
      </c>
      <c r="I792" t="str" cm="1">
        <f t="array" ref="I792">_xlfn.IFS(Calls[[#This Row],[Duration (Min)]]&lt;=30,"Under 30 mins",Calls[[#This Row],[Duration (Min)]]&lt;=60,"Under 1h",Calls[[#This Row],[Duration (Min)]]&lt;=120,"Under 2",TRUE,"More than 2h")</f>
        <v>Under 30 mins</v>
      </c>
      <c r="J792">
        <f>IF(MONTH(Calls[[#This Row],[Date of Call]])&lt;=3,YEAR(Calls[[#This Row],[Date of Call]]),YEAR(Calls[[#This Row],[Date of Call]])+1)</f>
        <v>2026</v>
      </c>
      <c r="K792" t="str">
        <f>TEXT(Calls[[#This Row],[Date of Call]],"dddd")</f>
        <v>Sunday</v>
      </c>
      <c r="L792" t="str">
        <f>TEXT(Calls[[#This Row],[Date of Call]],"mmm")</f>
        <v>Jun</v>
      </c>
    </row>
    <row r="793" spans="1:12" x14ac:dyDescent="0.3">
      <c r="A793" t="s">
        <v>797</v>
      </c>
      <c r="B793" t="s">
        <v>1009</v>
      </c>
      <c r="C793">
        <v>123</v>
      </c>
      <c r="D793" t="s">
        <v>1029</v>
      </c>
      <c r="E793" t="s">
        <v>1191</v>
      </c>
      <c r="F793">
        <v>99</v>
      </c>
      <c r="G793">
        <v>1.9</v>
      </c>
      <c r="H793">
        <f>ROUND(Calls[[#This Row],[Satisfactory Rating]],0)</f>
        <v>2</v>
      </c>
      <c r="I793" t="str" cm="1">
        <f t="array" ref="I793">_xlfn.IFS(Calls[[#This Row],[Duration (Min)]]&lt;=30,"Under 30 mins",Calls[[#This Row],[Duration (Min)]]&lt;=60,"Under 1h",Calls[[#This Row],[Duration (Min)]]&lt;=120,"Under 2",TRUE,"More than 2h")</f>
        <v>More than 2h</v>
      </c>
      <c r="J793">
        <f>IF(MONTH(Calls[[#This Row],[Date of Call]])&lt;=3,YEAR(Calls[[#This Row],[Date of Call]]),YEAR(Calls[[#This Row],[Date of Call]])+1)</f>
        <v>2026</v>
      </c>
      <c r="K793" t="str">
        <f>TEXT(Calls[[#This Row],[Date of Call]],"dddd")</f>
        <v>Sunday</v>
      </c>
      <c r="L793" t="str">
        <f>TEXT(Calls[[#This Row],[Date of Call]],"mmm")</f>
        <v>Jun</v>
      </c>
    </row>
    <row r="794" spans="1:12" x14ac:dyDescent="0.3">
      <c r="A794" t="s">
        <v>798</v>
      </c>
      <c r="B794" t="s">
        <v>1012</v>
      </c>
      <c r="C794">
        <v>90</v>
      </c>
      <c r="D794" t="s">
        <v>1029</v>
      </c>
      <c r="E794" t="s">
        <v>1191</v>
      </c>
      <c r="F794">
        <v>106</v>
      </c>
      <c r="G794">
        <v>4.2</v>
      </c>
      <c r="H794">
        <f>ROUND(Calls[[#This Row],[Satisfactory Rating]],0)</f>
        <v>4</v>
      </c>
      <c r="I794" t="str" cm="1">
        <f t="array" ref="I794">_xlfn.IFS(Calls[[#This Row],[Duration (Min)]]&lt;=30,"Under 30 mins",Calls[[#This Row],[Duration (Min)]]&lt;=60,"Under 1h",Calls[[#This Row],[Duration (Min)]]&lt;=120,"Under 2",TRUE,"More than 2h")</f>
        <v>Under 2</v>
      </c>
      <c r="J794">
        <f>IF(MONTH(Calls[[#This Row],[Date of Call]])&lt;=3,YEAR(Calls[[#This Row],[Date of Call]]),YEAR(Calls[[#This Row],[Date of Call]])+1)</f>
        <v>2026</v>
      </c>
      <c r="K794" t="str">
        <f>TEXT(Calls[[#This Row],[Date of Call]],"dddd")</f>
        <v>Sunday</v>
      </c>
      <c r="L794" t="str">
        <f>TEXT(Calls[[#This Row],[Date of Call]],"mmm")</f>
        <v>Jun</v>
      </c>
    </row>
    <row r="795" spans="1:12" x14ac:dyDescent="0.3">
      <c r="A795" t="s">
        <v>799</v>
      </c>
      <c r="B795" t="s">
        <v>1008</v>
      </c>
      <c r="C795">
        <v>107</v>
      </c>
      <c r="D795" t="s">
        <v>1027</v>
      </c>
      <c r="E795" t="s">
        <v>1191</v>
      </c>
      <c r="F795">
        <v>130</v>
      </c>
      <c r="G795">
        <v>3.7</v>
      </c>
      <c r="H795">
        <f>ROUND(Calls[[#This Row],[Satisfactory Rating]],0)</f>
        <v>4</v>
      </c>
      <c r="I795" t="str" cm="1">
        <f t="array" ref="I795">_xlfn.IFS(Calls[[#This Row],[Duration (Min)]]&lt;=30,"Under 30 mins",Calls[[#This Row],[Duration (Min)]]&lt;=60,"Under 1h",Calls[[#This Row],[Duration (Min)]]&lt;=120,"Under 2",TRUE,"More than 2h")</f>
        <v>Under 2</v>
      </c>
      <c r="J795">
        <f>IF(MONTH(Calls[[#This Row],[Date of Call]])&lt;=3,YEAR(Calls[[#This Row],[Date of Call]]),YEAR(Calls[[#This Row],[Date of Call]])+1)</f>
        <v>2026</v>
      </c>
      <c r="K795" t="str">
        <f>TEXT(Calls[[#This Row],[Date of Call]],"dddd")</f>
        <v>Sunday</v>
      </c>
      <c r="L795" t="str">
        <f>TEXT(Calls[[#This Row],[Date of Call]],"mmm")</f>
        <v>Jun</v>
      </c>
    </row>
    <row r="796" spans="1:12" x14ac:dyDescent="0.3">
      <c r="A796" t="s">
        <v>800</v>
      </c>
      <c r="B796" t="s">
        <v>1011</v>
      </c>
      <c r="C796">
        <v>110</v>
      </c>
      <c r="D796" t="s">
        <v>1032</v>
      </c>
      <c r="E796" t="s">
        <v>1191</v>
      </c>
      <c r="F796">
        <v>35</v>
      </c>
      <c r="G796">
        <v>2.4</v>
      </c>
      <c r="H796">
        <f>ROUND(Calls[[#This Row],[Satisfactory Rating]],0)</f>
        <v>2</v>
      </c>
      <c r="I796" t="str" cm="1">
        <f t="array" ref="I796">_xlfn.IFS(Calls[[#This Row],[Duration (Min)]]&lt;=30,"Under 30 mins",Calls[[#This Row],[Duration (Min)]]&lt;=60,"Under 1h",Calls[[#This Row],[Duration (Min)]]&lt;=120,"Under 2",TRUE,"More than 2h")</f>
        <v>Under 2</v>
      </c>
      <c r="J796">
        <f>IF(MONTH(Calls[[#This Row],[Date of Call]])&lt;=3,YEAR(Calls[[#This Row],[Date of Call]]),YEAR(Calls[[#This Row],[Date of Call]])+1)</f>
        <v>2026</v>
      </c>
      <c r="K796" t="str">
        <f>TEXT(Calls[[#This Row],[Date of Call]],"dddd")</f>
        <v>Sunday</v>
      </c>
      <c r="L796" t="str">
        <f>TEXT(Calls[[#This Row],[Date of Call]],"mmm")</f>
        <v>Jun</v>
      </c>
    </row>
    <row r="797" spans="1:12" x14ac:dyDescent="0.3">
      <c r="A797" t="s">
        <v>801</v>
      </c>
      <c r="B797" t="s">
        <v>1010</v>
      </c>
      <c r="C797">
        <v>158</v>
      </c>
      <c r="D797" t="s">
        <v>1031</v>
      </c>
      <c r="E797" t="s">
        <v>1192</v>
      </c>
      <c r="F797">
        <v>92</v>
      </c>
      <c r="G797">
        <v>2.2999999999999998</v>
      </c>
      <c r="H797">
        <f>ROUND(Calls[[#This Row],[Satisfactory Rating]],0)</f>
        <v>2</v>
      </c>
      <c r="I797" t="str" cm="1">
        <f t="array" ref="I797">_xlfn.IFS(Calls[[#This Row],[Duration (Min)]]&lt;=30,"Under 30 mins",Calls[[#This Row],[Duration (Min)]]&lt;=60,"Under 1h",Calls[[#This Row],[Duration (Min)]]&lt;=120,"Under 2",TRUE,"More than 2h")</f>
        <v>More than 2h</v>
      </c>
      <c r="J797">
        <f>IF(MONTH(Calls[[#This Row],[Date of Call]])&lt;=3,YEAR(Calls[[#This Row],[Date of Call]]),YEAR(Calls[[#This Row],[Date of Call]])+1)</f>
        <v>2026</v>
      </c>
      <c r="K797" t="str">
        <f>TEXT(Calls[[#This Row],[Date of Call]],"dddd")</f>
        <v>Monday</v>
      </c>
      <c r="L797" t="str">
        <f>TEXT(Calls[[#This Row],[Date of Call]],"mmm")</f>
        <v>Jun</v>
      </c>
    </row>
    <row r="798" spans="1:12" x14ac:dyDescent="0.3">
      <c r="A798" t="s">
        <v>802</v>
      </c>
      <c r="B798" t="s">
        <v>1017</v>
      </c>
      <c r="C798">
        <v>105</v>
      </c>
      <c r="D798" t="s">
        <v>1026</v>
      </c>
      <c r="E798" t="s">
        <v>1192</v>
      </c>
      <c r="F798">
        <v>56</v>
      </c>
      <c r="G798">
        <v>3.2</v>
      </c>
      <c r="H798">
        <f>ROUND(Calls[[#This Row],[Satisfactory Rating]],0)</f>
        <v>3</v>
      </c>
      <c r="I798" t="str" cm="1">
        <f t="array" ref="I798">_xlfn.IFS(Calls[[#This Row],[Duration (Min)]]&lt;=30,"Under 30 mins",Calls[[#This Row],[Duration (Min)]]&lt;=60,"Under 1h",Calls[[#This Row],[Duration (Min)]]&lt;=120,"Under 2",TRUE,"More than 2h")</f>
        <v>Under 2</v>
      </c>
      <c r="J798">
        <f>IF(MONTH(Calls[[#This Row],[Date of Call]])&lt;=3,YEAR(Calls[[#This Row],[Date of Call]]),YEAR(Calls[[#This Row],[Date of Call]])+1)</f>
        <v>2026</v>
      </c>
      <c r="K798" t="str">
        <f>TEXT(Calls[[#This Row],[Date of Call]],"dddd")</f>
        <v>Monday</v>
      </c>
      <c r="L798" t="str">
        <f>TEXT(Calls[[#This Row],[Date of Call]],"mmm")</f>
        <v>Jun</v>
      </c>
    </row>
    <row r="799" spans="1:12" x14ac:dyDescent="0.3">
      <c r="A799" t="s">
        <v>803</v>
      </c>
      <c r="B799" t="s">
        <v>1006</v>
      </c>
      <c r="C799">
        <v>44</v>
      </c>
      <c r="D799" t="s">
        <v>1027</v>
      </c>
      <c r="E799" t="s">
        <v>1192</v>
      </c>
      <c r="F799">
        <v>82</v>
      </c>
      <c r="G799">
        <v>3.1</v>
      </c>
      <c r="H799">
        <f>ROUND(Calls[[#This Row],[Satisfactory Rating]],0)</f>
        <v>3</v>
      </c>
      <c r="I799" t="str" cm="1">
        <f t="array" ref="I799">_xlfn.IFS(Calls[[#This Row],[Duration (Min)]]&lt;=30,"Under 30 mins",Calls[[#This Row],[Duration (Min)]]&lt;=60,"Under 1h",Calls[[#This Row],[Duration (Min)]]&lt;=120,"Under 2",TRUE,"More than 2h")</f>
        <v>Under 1h</v>
      </c>
      <c r="J799">
        <f>IF(MONTH(Calls[[#This Row],[Date of Call]])&lt;=3,YEAR(Calls[[#This Row],[Date of Call]]),YEAR(Calls[[#This Row],[Date of Call]])+1)</f>
        <v>2026</v>
      </c>
      <c r="K799" t="str">
        <f>TEXT(Calls[[#This Row],[Date of Call]],"dddd")</f>
        <v>Monday</v>
      </c>
      <c r="L799" t="str">
        <f>TEXT(Calls[[#This Row],[Date of Call]],"mmm")</f>
        <v>Jun</v>
      </c>
    </row>
    <row r="800" spans="1:12" x14ac:dyDescent="0.3">
      <c r="A800" t="s">
        <v>804</v>
      </c>
      <c r="B800" t="s">
        <v>1017</v>
      </c>
      <c r="C800">
        <v>12</v>
      </c>
      <c r="D800" t="s">
        <v>1029</v>
      </c>
      <c r="E800" t="s">
        <v>1192</v>
      </c>
      <c r="F800">
        <v>125</v>
      </c>
      <c r="G800">
        <v>2.6</v>
      </c>
      <c r="H800">
        <f>ROUND(Calls[[#This Row],[Satisfactory Rating]],0)</f>
        <v>3</v>
      </c>
      <c r="I800" t="str" cm="1">
        <f t="array" ref="I800">_xlfn.IFS(Calls[[#This Row],[Duration (Min)]]&lt;=30,"Under 30 mins",Calls[[#This Row],[Duration (Min)]]&lt;=60,"Under 1h",Calls[[#This Row],[Duration (Min)]]&lt;=120,"Under 2",TRUE,"More than 2h")</f>
        <v>Under 30 mins</v>
      </c>
      <c r="J800">
        <f>IF(MONTH(Calls[[#This Row],[Date of Call]])&lt;=3,YEAR(Calls[[#This Row],[Date of Call]]),YEAR(Calls[[#This Row],[Date of Call]])+1)</f>
        <v>2026</v>
      </c>
      <c r="K800" t="str">
        <f>TEXT(Calls[[#This Row],[Date of Call]],"dddd")</f>
        <v>Monday</v>
      </c>
      <c r="L800" t="str">
        <f>TEXT(Calls[[#This Row],[Date of Call]],"mmm")</f>
        <v>Jun</v>
      </c>
    </row>
    <row r="801" spans="1:12" x14ac:dyDescent="0.3">
      <c r="A801" t="s">
        <v>805</v>
      </c>
      <c r="B801" t="s">
        <v>1024</v>
      </c>
      <c r="C801">
        <v>10</v>
      </c>
      <c r="D801" t="s">
        <v>1032</v>
      </c>
      <c r="E801" t="s">
        <v>1192</v>
      </c>
      <c r="F801">
        <v>121</v>
      </c>
      <c r="G801">
        <v>4.3</v>
      </c>
      <c r="H801">
        <f>ROUND(Calls[[#This Row],[Satisfactory Rating]],0)</f>
        <v>4</v>
      </c>
      <c r="I801" t="str" cm="1">
        <f t="array" ref="I801">_xlfn.IFS(Calls[[#This Row],[Duration (Min)]]&lt;=30,"Under 30 mins",Calls[[#This Row],[Duration (Min)]]&lt;=60,"Under 1h",Calls[[#This Row],[Duration (Min)]]&lt;=120,"Under 2",TRUE,"More than 2h")</f>
        <v>Under 30 mins</v>
      </c>
      <c r="J801">
        <f>IF(MONTH(Calls[[#This Row],[Date of Call]])&lt;=3,YEAR(Calls[[#This Row],[Date of Call]]),YEAR(Calls[[#This Row],[Date of Call]])+1)</f>
        <v>2026</v>
      </c>
      <c r="K801" t="str">
        <f>TEXT(Calls[[#This Row],[Date of Call]],"dddd")</f>
        <v>Monday</v>
      </c>
      <c r="L801" t="str">
        <f>TEXT(Calls[[#This Row],[Date of Call]],"mmm")</f>
        <v>Jun</v>
      </c>
    </row>
    <row r="802" spans="1:12" x14ac:dyDescent="0.3">
      <c r="A802" t="s">
        <v>806</v>
      </c>
      <c r="B802" t="s">
        <v>1020</v>
      </c>
      <c r="C802">
        <v>108</v>
      </c>
      <c r="D802" t="s">
        <v>1032</v>
      </c>
      <c r="E802" t="s">
        <v>1193</v>
      </c>
      <c r="F802">
        <v>38</v>
      </c>
      <c r="G802">
        <v>4.7</v>
      </c>
      <c r="H802">
        <f>ROUND(Calls[[#This Row],[Satisfactory Rating]],0)</f>
        <v>5</v>
      </c>
      <c r="I802" t="str" cm="1">
        <f t="array" ref="I802">_xlfn.IFS(Calls[[#This Row],[Duration (Min)]]&lt;=30,"Under 30 mins",Calls[[#This Row],[Duration (Min)]]&lt;=60,"Under 1h",Calls[[#This Row],[Duration (Min)]]&lt;=120,"Under 2",TRUE,"More than 2h")</f>
        <v>Under 2</v>
      </c>
      <c r="J802">
        <f>IF(MONTH(Calls[[#This Row],[Date of Call]])&lt;=3,YEAR(Calls[[#This Row],[Date of Call]]),YEAR(Calls[[#This Row],[Date of Call]])+1)</f>
        <v>2026</v>
      </c>
      <c r="K802" t="str">
        <f>TEXT(Calls[[#This Row],[Date of Call]],"dddd")</f>
        <v>Tuesday</v>
      </c>
      <c r="L802" t="str">
        <f>TEXT(Calls[[#This Row],[Date of Call]],"mmm")</f>
        <v>Jun</v>
      </c>
    </row>
    <row r="803" spans="1:12" x14ac:dyDescent="0.3">
      <c r="A803" t="s">
        <v>807</v>
      </c>
      <c r="B803" t="s">
        <v>1018</v>
      </c>
      <c r="C803">
        <v>103</v>
      </c>
      <c r="D803" t="s">
        <v>1030</v>
      </c>
      <c r="E803" t="s">
        <v>1193</v>
      </c>
      <c r="F803">
        <v>108</v>
      </c>
      <c r="G803">
        <v>2.8</v>
      </c>
      <c r="H803">
        <f>ROUND(Calls[[#This Row],[Satisfactory Rating]],0)</f>
        <v>3</v>
      </c>
      <c r="I803" t="str" cm="1">
        <f t="array" ref="I803">_xlfn.IFS(Calls[[#This Row],[Duration (Min)]]&lt;=30,"Under 30 mins",Calls[[#This Row],[Duration (Min)]]&lt;=60,"Under 1h",Calls[[#This Row],[Duration (Min)]]&lt;=120,"Under 2",TRUE,"More than 2h")</f>
        <v>Under 2</v>
      </c>
      <c r="J803">
        <f>IF(MONTH(Calls[[#This Row],[Date of Call]])&lt;=3,YEAR(Calls[[#This Row],[Date of Call]]),YEAR(Calls[[#This Row],[Date of Call]])+1)</f>
        <v>2026</v>
      </c>
      <c r="K803" t="str">
        <f>TEXT(Calls[[#This Row],[Date of Call]],"dddd")</f>
        <v>Tuesday</v>
      </c>
      <c r="L803" t="str">
        <f>TEXT(Calls[[#This Row],[Date of Call]],"mmm")</f>
        <v>Jun</v>
      </c>
    </row>
    <row r="804" spans="1:12" x14ac:dyDescent="0.3">
      <c r="A804" t="s">
        <v>808</v>
      </c>
      <c r="B804" t="s">
        <v>1010</v>
      </c>
      <c r="C804">
        <v>130</v>
      </c>
      <c r="D804" t="s">
        <v>1031</v>
      </c>
      <c r="E804" t="s">
        <v>1193</v>
      </c>
      <c r="F804">
        <v>55</v>
      </c>
      <c r="G804">
        <v>4.5999999999999996</v>
      </c>
      <c r="H804">
        <f>ROUND(Calls[[#This Row],[Satisfactory Rating]],0)</f>
        <v>5</v>
      </c>
      <c r="I804" t="str" cm="1">
        <f t="array" ref="I804">_xlfn.IFS(Calls[[#This Row],[Duration (Min)]]&lt;=30,"Under 30 mins",Calls[[#This Row],[Duration (Min)]]&lt;=60,"Under 1h",Calls[[#This Row],[Duration (Min)]]&lt;=120,"Under 2",TRUE,"More than 2h")</f>
        <v>More than 2h</v>
      </c>
      <c r="J804">
        <f>IF(MONTH(Calls[[#This Row],[Date of Call]])&lt;=3,YEAR(Calls[[#This Row],[Date of Call]]),YEAR(Calls[[#This Row],[Date of Call]])+1)</f>
        <v>2026</v>
      </c>
      <c r="K804" t="str">
        <f>TEXT(Calls[[#This Row],[Date of Call]],"dddd")</f>
        <v>Tuesday</v>
      </c>
      <c r="L804" t="str">
        <f>TEXT(Calls[[#This Row],[Date of Call]],"mmm")</f>
        <v>Jun</v>
      </c>
    </row>
    <row r="805" spans="1:12" x14ac:dyDescent="0.3">
      <c r="A805" t="s">
        <v>809</v>
      </c>
      <c r="B805" t="s">
        <v>1006</v>
      </c>
      <c r="C805">
        <v>134</v>
      </c>
      <c r="D805" t="s">
        <v>1029</v>
      </c>
      <c r="E805" t="s">
        <v>1193</v>
      </c>
      <c r="F805">
        <v>78</v>
      </c>
      <c r="G805">
        <v>2.9</v>
      </c>
      <c r="H805">
        <f>ROUND(Calls[[#This Row],[Satisfactory Rating]],0)</f>
        <v>3</v>
      </c>
      <c r="I805" t="str" cm="1">
        <f t="array" ref="I805">_xlfn.IFS(Calls[[#This Row],[Duration (Min)]]&lt;=30,"Under 30 mins",Calls[[#This Row],[Duration (Min)]]&lt;=60,"Under 1h",Calls[[#This Row],[Duration (Min)]]&lt;=120,"Under 2",TRUE,"More than 2h")</f>
        <v>More than 2h</v>
      </c>
      <c r="J805">
        <f>IF(MONTH(Calls[[#This Row],[Date of Call]])&lt;=3,YEAR(Calls[[#This Row],[Date of Call]]),YEAR(Calls[[#This Row],[Date of Call]])+1)</f>
        <v>2026</v>
      </c>
      <c r="K805" t="str">
        <f>TEXT(Calls[[#This Row],[Date of Call]],"dddd")</f>
        <v>Tuesday</v>
      </c>
      <c r="L805" t="str">
        <f>TEXT(Calls[[#This Row],[Date of Call]],"mmm")</f>
        <v>Jun</v>
      </c>
    </row>
    <row r="806" spans="1:12" x14ac:dyDescent="0.3">
      <c r="A806" t="s">
        <v>810</v>
      </c>
      <c r="B806" t="s">
        <v>1016</v>
      </c>
      <c r="C806">
        <v>16</v>
      </c>
      <c r="D806" t="s">
        <v>1032</v>
      </c>
      <c r="E806" t="s">
        <v>1193</v>
      </c>
      <c r="F806">
        <v>102</v>
      </c>
      <c r="G806">
        <v>2.6</v>
      </c>
      <c r="H806">
        <f>ROUND(Calls[[#This Row],[Satisfactory Rating]],0)</f>
        <v>3</v>
      </c>
      <c r="I806" t="str" cm="1">
        <f t="array" ref="I806">_xlfn.IFS(Calls[[#This Row],[Duration (Min)]]&lt;=30,"Under 30 mins",Calls[[#This Row],[Duration (Min)]]&lt;=60,"Under 1h",Calls[[#This Row],[Duration (Min)]]&lt;=120,"Under 2",TRUE,"More than 2h")</f>
        <v>Under 30 mins</v>
      </c>
      <c r="J806">
        <f>IF(MONTH(Calls[[#This Row],[Date of Call]])&lt;=3,YEAR(Calls[[#This Row],[Date of Call]]),YEAR(Calls[[#This Row],[Date of Call]])+1)</f>
        <v>2026</v>
      </c>
      <c r="K806" t="str">
        <f>TEXT(Calls[[#This Row],[Date of Call]],"dddd")</f>
        <v>Tuesday</v>
      </c>
      <c r="L806" t="str">
        <f>TEXT(Calls[[#This Row],[Date of Call]],"mmm")</f>
        <v>Jun</v>
      </c>
    </row>
    <row r="807" spans="1:12" x14ac:dyDescent="0.3">
      <c r="A807" t="s">
        <v>811</v>
      </c>
      <c r="B807" t="s">
        <v>1019</v>
      </c>
      <c r="C807">
        <v>55</v>
      </c>
      <c r="D807" t="s">
        <v>1026</v>
      </c>
      <c r="E807" t="s">
        <v>1194</v>
      </c>
      <c r="F807">
        <v>67</v>
      </c>
      <c r="G807">
        <v>4.3</v>
      </c>
      <c r="H807">
        <f>ROUND(Calls[[#This Row],[Satisfactory Rating]],0)</f>
        <v>4</v>
      </c>
      <c r="I807" t="str" cm="1">
        <f t="array" ref="I807">_xlfn.IFS(Calls[[#This Row],[Duration (Min)]]&lt;=30,"Under 30 mins",Calls[[#This Row],[Duration (Min)]]&lt;=60,"Under 1h",Calls[[#This Row],[Duration (Min)]]&lt;=120,"Under 2",TRUE,"More than 2h")</f>
        <v>Under 1h</v>
      </c>
      <c r="J807">
        <f>IF(MONTH(Calls[[#This Row],[Date of Call]])&lt;=3,YEAR(Calls[[#This Row],[Date of Call]]),YEAR(Calls[[#This Row],[Date of Call]])+1)</f>
        <v>2026</v>
      </c>
      <c r="K807" t="str">
        <f>TEXT(Calls[[#This Row],[Date of Call]],"dddd")</f>
        <v>Wednesday</v>
      </c>
      <c r="L807" t="str">
        <f>TEXT(Calls[[#This Row],[Date of Call]],"mmm")</f>
        <v>Jun</v>
      </c>
    </row>
    <row r="808" spans="1:12" x14ac:dyDescent="0.3">
      <c r="A808" t="s">
        <v>812</v>
      </c>
      <c r="B808" t="s">
        <v>1006</v>
      </c>
      <c r="C808">
        <v>47</v>
      </c>
      <c r="D808" t="s">
        <v>1032</v>
      </c>
      <c r="E808" t="s">
        <v>1194</v>
      </c>
      <c r="F808">
        <v>26</v>
      </c>
      <c r="G808">
        <v>4.3</v>
      </c>
      <c r="H808">
        <f>ROUND(Calls[[#This Row],[Satisfactory Rating]],0)</f>
        <v>4</v>
      </c>
      <c r="I808" t="str" cm="1">
        <f t="array" ref="I808">_xlfn.IFS(Calls[[#This Row],[Duration (Min)]]&lt;=30,"Under 30 mins",Calls[[#This Row],[Duration (Min)]]&lt;=60,"Under 1h",Calls[[#This Row],[Duration (Min)]]&lt;=120,"Under 2",TRUE,"More than 2h")</f>
        <v>Under 1h</v>
      </c>
      <c r="J808">
        <f>IF(MONTH(Calls[[#This Row],[Date of Call]])&lt;=3,YEAR(Calls[[#This Row],[Date of Call]]),YEAR(Calls[[#This Row],[Date of Call]])+1)</f>
        <v>2026</v>
      </c>
      <c r="K808" t="str">
        <f>TEXT(Calls[[#This Row],[Date of Call]],"dddd")</f>
        <v>Wednesday</v>
      </c>
      <c r="L808" t="str">
        <f>TEXT(Calls[[#This Row],[Date of Call]],"mmm")</f>
        <v>Jun</v>
      </c>
    </row>
    <row r="809" spans="1:12" x14ac:dyDescent="0.3">
      <c r="A809" t="s">
        <v>813</v>
      </c>
      <c r="B809" t="s">
        <v>1022</v>
      </c>
      <c r="C809">
        <v>40</v>
      </c>
      <c r="D809" t="s">
        <v>1027</v>
      </c>
      <c r="E809" t="s">
        <v>1194</v>
      </c>
      <c r="F809">
        <v>82</v>
      </c>
      <c r="G809">
        <v>5</v>
      </c>
      <c r="H809">
        <f>ROUND(Calls[[#This Row],[Satisfactory Rating]],0)</f>
        <v>5</v>
      </c>
      <c r="I809" t="str" cm="1">
        <f t="array" ref="I809">_xlfn.IFS(Calls[[#This Row],[Duration (Min)]]&lt;=30,"Under 30 mins",Calls[[#This Row],[Duration (Min)]]&lt;=60,"Under 1h",Calls[[#This Row],[Duration (Min)]]&lt;=120,"Under 2",TRUE,"More than 2h")</f>
        <v>Under 1h</v>
      </c>
      <c r="J809">
        <f>IF(MONTH(Calls[[#This Row],[Date of Call]])&lt;=3,YEAR(Calls[[#This Row],[Date of Call]]),YEAR(Calls[[#This Row],[Date of Call]])+1)</f>
        <v>2026</v>
      </c>
      <c r="K809" t="str">
        <f>TEXT(Calls[[#This Row],[Date of Call]],"dddd")</f>
        <v>Wednesday</v>
      </c>
      <c r="L809" t="str">
        <f>TEXT(Calls[[#This Row],[Date of Call]],"mmm")</f>
        <v>Jun</v>
      </c>
    </row>
    <row r="810" spans="1:12" x14ac:dyDescent="0.3">
      <c r="A810" t="s">
        <v>814</v>
      </c>
      <c r="B810" t="s">
        <v>1024</v>
      </c>
      <c r="C810">
        <v>151</v>
      </c>
      <c r="D810" t="s">
        <v>1030</v>
      </c>
      <c r="E810" t="s">
        <v>1194</v>
      </c>
      <c r="F810">
        <v>96</v>
      </c>
      <c r="G810">
        <v>3.7</v>
      </c>
      <c r="H810">
        <f>ROUND(Calls[[#This Row],[Satisfactory Rating]],0)</f>
        <v>4</v>
      </c>
      <c r="I810" t="str" cm="1">
        <f t="array" ref="I810">_xlfn.IFS(Calls[[#This Row],[Duration (Min)]]&lt;=30,"Under 30 mins",Calls[[#This Row],[Duration (Min)]]&lt;=60,"Under 1h",Calls[[#This Row],[Duration (Min)]]&lt;=120,"Under 2",TRUE,"More than 2h")</f>
        <v>More than 2h</v>
      </c>
      <c r="J810">
        <f>IF(MONTH(Calls[[#This Row],[Date of Call]])&lt;=3,YEAR(Calls[[#This Row],[Date of Call]]),YEAR(Calls[[#This Row],[Date of Call]])+1)</f>
        <v>2026</v>
      </c>
      <c r="K810" t="str">
        <f>TEXT(Calls[[#This Row],[Date of Call]],"dddd")</f>
        <v>Wednesday</v>
      </c>
      <c r="L810" t="str">
        <f>TEXT(Calls[[#This Row],[Date of Call]],"mmm")</f>
        <v>Jun</v>
      </c>
    </row>
    <row r="811" spans="1:12" x14ac:dyDescent="0.3">
      <c r="A811" t="s">
        <v>815</v>
      </c>
      <c r="B811" t="s">
        <v>1017</v>
      </c>
      <c r="C811">
        <v>69</v>
      </c>
      <c r="D811" t="s">
        <v>1028</v>
      </c>
      <c r="E811" t="s">
        <v>1194</v>
      </c>
      <c r="F811">
        <v>24</v>
      </c>
      <c r="G811">
        <v>1.7</v>
      </c>
      <c r="H811">
        <f>ROUND(Calls[[#This Row],[Satisfactory Rating]],0)</f>
        <v>2</v>
      </c>
      <c r="I811" t="str" cm="1">
        <f t="array" ref="I811">_xlfn.IFS(Calls[[#This Row],[Duration (Min)]]&lt;=30,"Under 30 mins",Calls[[#This Row],[Duration (Min)]]&lt;=60,"Under 1h",Calls[[#This Row],[Duration (Min)]]&lt;=120,"Under 2",TRUE,"More than 2h")</f>
        <v>Under 2</v>
      </c>
      <c r="J811">
        <f>IF(MONTH(Calls[[#This Row],[Date of Call]])&lt;=3,YEAR(Calls[[#This Row],[Date of Call]]),YEAR(Calls[[#This Row],[Date of Call]])+1)</f>
        <v>2026</v>
      </c>
      <c r="K811" t="str">
        <f>TEXT(Calls[[#This Row],[Date of Call]],"dddd")</f>
        <v>Wednesday</v>
      </c>
      <c r="L811" t="str">
        <f>TEXT(Calls[[#This Row],[Date of Call]],"mmm")</f>
        <v>Jun</v>
      </c>
    </row>
    <row r="812" spans="1:12" x14ac:dyDescent="0.3">
      <c r="A812" t="s">
        <v>816</v>
      </c>
      <c r="B812" t="s">
        <v>1017</v>
      </c>
      <c r="C812">
        <v>80</v>
      </c>
      <c r="D812" t="s">
        <v>1030</v>
      </c>
      <c r="E812" t="s">
        <v>1195</v>
      </c>
      <c r="F812">
        <v>121</v>
      </c>
      <c r="G812">
        <v>4.2</v>
      </c>
      <c r="H812">
        <f>ROUND(Calls[[#This Row],[Satisfactory Rating]],0)</f>
        <v>4</v>
      </c>
      <c r="I812" t="str" cm="1">
        <f t="array" ref="I812">_xlfn.IFS(Calls[[#This Row],[Duration (Min)]]&lt;=30,"Under 30 mins",Calls[[#This Row],[Duration (Min)]]&lt;=60,"Under 1h",Calls[[#This Row],[Duration (Min)]]&lt;=120,"Under 2",TRUE,"More than 2h")</f>
        <v>Under 2</v>
      </c>
      <c r="J812">
        <f>IF(MONTH(Calls[[#This Row],[Date of Call]])&lt;=3,YEAR(Calls[[#This Row],[Date of Call]]),YEAR(Calls[[#This Row],[Date of Call]])+1)</f>
        <v>2026</v>
      </c>
      <c r="K812" t="str">
        <f>TEXT(Calls[[#This Row],[Date of Call]],"dddd")</f>
        <v>Thursday</v>
      </c>
      <c r="L812" t="str">
        <f>TEXT(Calls[[#This Row],[Date of Call]],"mmm")</f>
        <v>Jun</v>
      </c>
    </row>
    <row r="813" spans="1:12" x14ac:dyDescent="0.3">
      <c r="A813" t="s">
        <v>817</v>
      </c>
      <c r="B813" t="s">
        <v>1018</v>
      </c>
      <c r="C813">
        <v>21</v>
      </c>
      <c r="D813" t="s">
        <v>1032</v>
      </c>
      <c r="E813" t="s">
        <v>1195</v>
      </c>
      <c r="F813">
        <v>52</v>
      </c>
      <c r="G813">
        <v>2.1</v>
      </c>
      <c r="H813">
        <f>ROUND(Calls[[#This Row],[Satisfactory Rating]],0)</f>
        <v>2</v>
      </c>
      <c r="I813" t="str" cm="1">
        <f t="array" ref="I813">_xlfn.IFS(Calls[[#This Row],[Duration (Min)]]&lt;=30,"Under 30 mins",Calls[[#This Row],[Duration (Min)]]&lt;=60,"Under 1h",Calls[[#This Row],[Duration (Min)]]&lt;=120,"Under 2",TRUE,"More than 2h")</f>
        <v>Under 30 mins</v>
      </c>
      <c r="J813">
        <f>IF(MONTH(Calls[[#This Row],[Date of Call]])&lt;=3,YEAR(Calls[[#This Row],[Date of Call]]),YEAR(Calls[[#This Row],[Date of Call]])+1)</f>
        <v>2026</v>
      </c>
      <c r="K813" t="str">
        <f>TEXT(Calls[[#This Row],[Date of Call]],"dddd")</f>
        <v>Thursday</v>
      </c>
      <c r="L813" t="str">
        <f>TEXT(Calls[[#This Row],[Date of Call]],"mmm")</f>
        <v>Jun</v>
      </c>
    </row>
    <row r="814" spans="1:12" x14ac:dyDescent="0.3">
      <c r="A814" t="s">
        <v>818</v>
      </c>
      <c r="B814" t="s">
        <v>1019</v>
      </c>
      <c r="C814">
        <v>72</v>
      </c>
      <c r="D814" t="s">
        <v>1030</v>
      </c>
      <c r="E814" t="s">
        <v>1195</v>
      </c>
      <c r="F814">
        <v>136</v>
      </c>
      <c r="G814">
        <v>4.8</v>
      </c>
      <c r="H814">
        <f>ROUND(Calls[[#This Row],[Satisfactory Rating]],0)</f>
        <v>5</v>
      </c>
      <c r="I814" t="str" cm="1">
        <f t="array" ref="I814">_xlfn.IFS(Calls[[#This Row],[Duration (Min)]]&lt;=30,"Under 30 mins",Calls[[#This Row],[Duration (Min)]]&lt;=60,"Under 1h",Calls[[#This Row],[Duration (Min)]]&lt;=120,"Under 2",TRUE,"More than 2h")</f>
        <v>Under 2</v>
      </c>
      <c r="J814">
        <f>IF(MONTH(Calls[[#This Row],[Date of Call]])&lt;=3,YEAR(Calls[[#This Row],[Date of Call]]),YEAR(Calls[[#This Row],[Date of Call]])+1)</f>
        <v>2026</v>
      </c>
      <c r="K814" t="str">
        <f>TEXT(Calls[[#This Row],[Date of Call]],"dddd")</f>
        <v>Thursday</v>
      </c>
      <c r="L814" t="str">
        <f>TEXT(Calls[[#This Row],[Date of Call]],"mmm")</f>
        <v>Jun</v>
      </c>
    </row>
    <row r="815" spans="1:12" x14ac:dyDescent="0.3">
      <c r="A815" t="s">
        <v>819</v>
      </c>
      <c r="B815" t="s">
        <v>1022</v>
      </c>
      <c r="C815">
        <v>85</v>
      </c>
      <c r="D815" t="s">
        <v>1031</v>
      </c>
      <c r="E815" t="s">
        <v>1195</v>
      </c>
      <c r="F815">
        <v>150</v>
      </c>
      <c r="G815">
        <v>4.5999999999999996</v>
      </c>
      <c r="H815">
        <f>ROUND(Calls[[#This Row],[Satisfactory Rating]],0)</f>
        <v>5</v>
      </c>
      <c r="I815" t="str" cm="1">
        <f t="array" ref="I815">_xlfn.IFS(Calls[[#This Row],[Duration (Min)]]&lt;=30,"Under 30 mins",Calls[[#This Row],[Duration (Min)]]&lt;=60,"Under 1h",Calls[[#This Row],[Duration (Min)]]&lt;=120,"Under 2",TRUE,"More than 2h")</f>
        <v>Under 2</v>
      </c>
      <c r="J815">
        <f>IF(MONTH(Calls[[#This Row],[Date of Call]])&lt;=3,YEAR(Calls[[#This Row],[Date of Call]]),YEAR(Calls[[#This Row],[Date of Call]])+1)</f>
        <v>2026</v>
      </c>
      <c r="K815" t="str">
        <f>TEXT(Calls[[#This Row],[Date of Call]],"dddd")</f>
        <v>Thursday</v>
      </c>
      <c r="L815" t="str">
        <f>TEXT(Calls[[#This Row],[Date of Call]],"mmm")</f>
        <v>Jun</v>
      </c>
    </row>
    <row r="816" spans="1:12" x14ac:dyDescent="0.3">
      <c r="A816" t="s">
        <v>820</v>
      </c>
      <c r="B816" t="s">
        <v>1014</v>
      </c>
      <c r="C816">
        <v>77</v>
      </c>
      <c r="D816" t="s">
        <v>1027</v>
      </c>
      <c r="E816" t="s">
        <v>1195</v>
      </c>
      <c r="F816">
        <v>136</v>
      </c>
      <c r="G816">
        <v>2.2000000000000002</v>
      </c>
      <c r="H816">
        <f>ROUND(Calls[[#This Row],[Satisfactory Rating]],0)</f>
        <v>2</v>
      </c>
      <c r="I816" t="str" cm="1">
        <f t="array" ref="I816">_xlfn.IFS(Calls[[#This Row],[Duration (Min)]]&lt;=30,"Under 30 mins",Calls[[#This Row],[Duration (Min)]]&lt;=60,"Under 1h",Calls[[#This Row],[Duration (Min)]]&lt;=120,"Under 2",TRUE,"More than 2h")</f>
        <v>Under 2</v>
      </c>
      <c r="J816">
        <f>IF(MONTH(Calls[[#This Row],[Date of Call]])&lt;=3,YEAR(Calls[[#This Row],[Date of Call]]),YEAR(Calls[[#This Row],[Date of Call]])+1)</f>
        <v>2026</v>
      </c>
      <c r="K816" t="str">
        <f>TEXT(Calls[[#This Row],[Date of Call]],"dddd")</f>
        <v>Thursday</v>
      </c>
      <c r="L816" t="str">
        <f>TEXT(Calls[[#This Row],[Date of Call]],"mmm")</f>
        <v>Jun</v>
      </c>
    </row>
    <row r="817" spans="1:12" x14ac:dyDescent="0.3">
      <c r="A817" t="s">
        <v>821</v>
      </c>
      <c r="B817" t="s">
        <v>1023</v>
      </c>
      <c r="C817">
        <v>27</v>
      </c>
      <c r="D817" t="s">
        <v>1031</v>
      </c>
      <c r="E817" t="s">
        <v>1196</v>
      </c>
      <c r="F817">
        <v>80</v>
      </c>
      <c r="G817">
        <v>3</v>
      </c>
      <c r="H817">
        <f>ROUND(Calls[[#This Row],[Satisfactory Rating]],0)</f>
        <v>3</v>
      </c>
      <c r="I817" t="str" cm="1">
        <f t="array" ref="I817">_xlfn.IFS(Calls[[#This Row],[Duration (Min)]]&lt;=30,"Under 30 mins",Calls[[#This Row],[Duration (Min)]]&lt;=60,"Under 1h",Calls[[#This Row],[Duration (Min)]]&lt;=120,"Under 2",TRUE,"More than 2h")</f>
        <v>Under 30 mins</v>
      </c>
      <c r="J817">
        <f>IF(MONTH(Calls[[#This Row],[Date of Call]])&lt;=3,YEAR(Calls[[#This Row],[Date of Call]]),YEAR(Calls[[#This Row],[Date of Call]])+1)</f>
        <v>2026</v>
      </c>
      <c r="K817" t="str">
        <f>TEXT(Calls[[#This Row],[Date of Call]],"dddd")</f>
        <v>Friday</v>
      </c>
      <c r="L817" t="str">
        <f>TEXT(Calls[[#This Row],[Date of Call]],"mmm")</f>
        <v>Jun</v>
      </c>
    </row>
    <row r="818" spans="1:12" x14ac:dyDescent="0.3">
      <c r="A818" t="s">
        <v>822</v>
      </c>
      <c r="B818" t="s">
        <v>1006</v>
      </c>
      <c r="C818">
        <v>48</v>
      </c>
      <c r="D818" t="s">
        <v>1028</v>
      </c>
      <c r="E818" t="s">
        <v>1196</v>
      </c>
      <c r="F818">
        <v>97</v>
      </c>
      <c r="G818">
        <v>3.9</v>
      </c>
      <c r="H818">
        <f>ROUND(Calls[[#This Row],[Satisfactory Rating]],0)</f>
        <v>4</v>
      </c>
      <c r="I818" t="str" cm="1">
        <f t="array" ref="I818">_xlfn.IFS(Calls[[#This Row],[Duration (Min)]]&lt;=30,"Under 30 mins",Calls[[#This Row],[Duration (Min)]]&lt;=60,"Under 1h",Calls[[#This Row],[Duration (Min)]]&lt;=120,"Under 2",TRUE,"More than 2h")</f>
        <v>Under 1h</v>
      </c>
      <c r="J818">
        <f>IF(MONTH(Calls[[#This Row],[Date of Call]])&lt;=3,YEAR(Calls[[#This Row],[Date of Call]]),YEAR(Calls[[#This Row],[Date of Call]])+1)</f>
        <v>2026</v>
      </c>
      <c r="K818" t="str">
        <f>TEXT(Calls[[#This Row],[Date of Call]],"dddd")</f>
        <v>Friday</v>
      </c>
      <c r="L818" t="str">
        <f>TEXT(Calls[[#This Row],[Date of Call]],"mmm")</f>
        <v>Jun</v>
      </c>
    </row>
    <row r="819" spans="1:12" x14ac:dyDescent="0.3">
      <c r="A819" t="s">
        <v>823</v>
      </c>
      <c r="B819" t="s">
        <v>1021</v>
      </c>
      <c r="C819">
        <v>50</v>
      </c>
      <c r="D819" t="s">
        <v>1032</v>
      </c>
      <c r="E819" t="s">
        <v>1196</v>
      </c>
      <c r="F819">
        <v>34</v>
      </c>
      <c r="G819">
        <v>2.7</v>
      </c>
      <c r="H819">
        <f>ROUND(Calls[[#This Row],[Satisfactory Rating]],0)</f>
        <v>3</v>
      </c>
      <c r="I819" t="str" cm="1">
        <f t="array" ref="I819">_xlfn.IFS(Calls[[#This Row],[Duration (Min)]]&lt;=30,"Under 30 mins",Calls[[#This Row],[Duration (Min)]]&lt;=60,"Under 1h",Calls[[#This Row],[Duration (Min)]]&lt;=120,"Under 2",TRUE,"More than 2h")</f>
        <v>Under 1h</v>
      </c>
      <c r="J819">
        <f>IF(MONTH(Calls[[#This Row],[Date of Call]])&lt;=3,YEAR(Calls[[#This Row],[Date of Call]]),YEAR(Calls[[#This Row],[Date of Call]])+1)</f>
        <v>2026</v>
      </c>
      <c r="K819" t="str">
        <f>TEXT(Calls[[#This Row],[Date of Call]],"dddd")</f>
        <v>Friday</v>
      </c>
      <c r="L819" t="str">
        <f>TEXT(Calls[[#This Row],[Date of Call]],"mmm")</f>
        <v>Jun</v>
      </c>
    </row>
    <row r="820" spans="1:12" x14ac:dyDescent="0.3">
      <c r="A820" t="s">
        <v>824</v>
      </c>
      <c r="B820" t="s">
        <v>1017</v>
      </c>
      <c r="C820">
        <v>111</v>
      </c>
      <c r="D820" t="s">
        <v>1031</v>
      </c>
      <c r="E820" t="s">
        <v>1196</v>
      </c>
      <c r="F820">
        <v>135</v>
      </c>
      <c r="G820">
        <v>4.2</v>
      </c>
      <c r="H820">
        <f>ROUND(Calls[[#This Row],[Satisfactory Rating]],0)</f>
        <v>4</v>
      </c>
      <c r="I820" t="str" cm="1">
        <f t="array" ref="I820">_xlfn.IFS(Calls[[#This Row],[Duration (Min)]]&lt;=30,"Under 30 mins",Calls[[#This Row],[Duration (Min)]]&lt;=60,"Under 1h",Calls[[#This Row],[Duration (Min)]]&lt;=120,"Under 2",TRUE,"More than 2h")</f>
        <v>Under 2</v>
      </c>
      <c r="J820">
        <f>IF(MONTH(Calls[[#This Row],[Date of Call]])&lt;=3,YEAR(Calls[[#This Row],[Date of Call]]),YEAR(Calls[[#This Row],[Date of Call]])+1)</f>
        <v>2026</v>
      </c>
      <c r="K820" t="str">
        <f>TEXT(Calls[[#This Row],[Date of Call]],"dddd")</f>
        <v>Friday</v>
      </c>
      <c r="L820" t="str">
        <f>TEXT(Calls[[#This Row],[Date of Call]],"mmm")</f>
        <v>Jun</v>
      </c>
    </row>
    <row r="821" spans="1:12" x14ac:dyDescent="0.3">
      <c r="A821" t="s">
        <v>825</v>
      </c>
      <c r="B821" t="s">
        <v>1013</v>
      </c>
      <c r="C821">
        <v>119</v>
      </c>
      <c r="D821" t="s">
        <v>1032</v>
      </c>
      <c r="E821" t="s">
        <v>1196</v>
      </c>
      <c r="F821">
        <v>148</v>
      </c>
      <c r="G821">
        <v>4</v>
      </c>
      <c r="H821">
        <f>ROUND(Calls[[#This Row],[Satisfactory Rating]],0)</f>
        <v>4</v>
      </c>
      <c r="I821" t="str" cm="1">
        <f t="array" ref="I821">_xlfn.IFS(Calls[[#This Row],[Duration (Min)]]&lt;=30,"Under 30 mins",Calls[[#This Row],[Duration (Min)]]&lt;=60,"Under 1h",Calls[[#This Row],[Duration (Min)]]&lt;=120,"Under 2",TRUE,"More than 2h")</f>
        <v>Under 2</v>
      </c>
      <c r="J821">
        <f>IF(MONTH(Calls[[#This Row],[Date of Call]])&lt;=3,YEAR(Calls[[#This Row],[Date of Call]]),YEAR(Calls[[#This Row],[Date of Call]])+1)</f>
        <v>2026</v>
      </c>
      <c r="K821" t="str">
        <f>TEXT(Calls[[#This Row],[Date of Call]],"dddd")</f>
        <v>Friday</v>
      </c>
      <c r="L821" t="str">
        <f>TEXT(Calls[[#This Row],[Date of Call]],"mmm")</f>
        <v>Jun</v>
      </c>
    </row>
    <row r="822" spans="1:12" x14ac:dyDescent="0.3">
      <c r="A822" t="s">
        <v>826</v>
      </c>
      <c r="B822" t="s">
        <v>1019</v>
      </c>
      <c r="C822">
        <v>119</v>
      </c>
      <c r="D822" t="s">
        <v>1026</v>
      </c>
      <c r="E822" t="s">
        <v>1197</v>
      </c>
      <c r="F822">
        <v>150</v>
      </c>
      <c r="G822">
        <v>1.2</v>
      </c>
      <c r="H822">
        <f>ROUND(Calls[[#This Row],[Satisfactory Rating]],0)</f>
        <v>1</v>
      </c>
      <c r="I822" t="str" cm="1">
        <f t="array" ref="I822">_xlfn.IFS(Calls[[#This Row],[Duration (Min)]]&lt;=30,"Under 30 mins",Calls[[#This Row],[Duration (Min)]]&lt;=60,"Under 1h",Calls[[#This Row],[Duration (Min)]]&lt;=120,"Under 2",TRUE,"More than 2h")</f>
        <v>Under 2</v>
      </c>
      <c r="J822">
        <f>IF(MONTH(Calls[[#This Row],[Date of Call]])&lt;=3,YEAR(Calls[[#This Row],[Date of Call]]),YEAR(Calls[[#This Row],[Date of Call]])+1)</f>
        <v>2026</v>
      </c>
      <c r="K822" t="str">
        <f>TEXT(Calls[[#This Row],[Date of Call]],"dddd")</f>
        <v>Saturday</v>
      </c>
      <c r="L822" t="str">
        <f>TEXT(Calls[[#This Row],[Date of Call]],"mmm")</f>
        <v>Jun</v>
      </c>
    </row>
    <row r="823" spans="1:12" x14ac:dyDescent="0.3">
      <c r="A823" t="s">
        <v>827</v>
      </c>
      <c r="B823" t="s">
        <v>1012</v>
      </c>
      <c r="C823">
        <v>19</v>
      </c>
      <c r="D823" t="s">
        <v>1027</v>
      </c>
      <c r="E823" t="s">
        <v>1197</v>
      </c>
      <c r="F823">
        <v>66</v>
      </c>
      <c r="G823">
        <v>4.2</v>
      </c>
      <c r="H823">
        <f>ROUND(Calls[[#This Row],[Satisfactory Rating]],0)</f>
        <v>4</v>
      </c>
      <c r="I823" t="str" cm="1">
        <f t="array" ref="I823">_xlfn.IFS(Calls[[#This Row],[Duration (Min)]]&lt;=30,"Under 30 mins",Calls[[#This Row],[Duration (Min)]]&lt;=60,"Under 1h",Calls[[#This Row],[Duration (Min)]]&lt;=120,"Under 2",TRUE,"More than 2h")</f>
        <v>Under 30 mins</v>
      </c>
      <c r="J823">
        <f>IF(MONTH(Calls[[#This Row],[Date of Call]])&lt;=3,YEAR(Calls[[#This Row],[Date of Call]]),YEAR(Calls[[#This Row],[Date of Call]])+1)</f>
        <v>2026</v>
      </c>
      <c r="K823" t="str">
        <f>TEXT(Calls[[#This Row],[Date of Call]],"dddd")</f>
        <v>Saturday</v>
      </c>
      <c r="L823" t="str">
        <f>TEXT(Calls[[#This Row],[Date of Call]],"mmm")</f>
        <v>Jun</v>
      </c>
    </row>
    <row r="824" spans="1:12" x14ac:dyDescent="0.3">
      <c r="A824" t="s">
        <v>828</v>
      </c>
      <c r="B824" t="s">
        <v>1010</v>
      </c>
      <c r="C824">
        <v>51</v>
      </c>
      <c r="D824" t="s">
        <v>1026</v>
      </c>
      <c r="E824" t="s">
        <v>1197</v>
      </c>
      <c r="F824">
        <v>86</v>
      </c>
      <c r="G824">
        <v>3.6</v>
      </c>
      <c r="H824">
        <f>ROUND(Calls[[#This Row],[Satisfactory Rating]],0)</f>
        <v>4</v>
      </c>
      <c r="I824" t="str" cm="1">
        <f t="array" ref="I824">_xlfn.IFS(Calls[[#This Row],[Duration (Min)]]&lt;=30,"Under 30 mins",Calls[[#This Row],[Duration (Min)]]&lt;=60,"Under 1h",Calls[[#This Row],[Duration (Min)]]&lt;=120,"Under 2",TRUE,"More than 2h")</f>
        <v>Under 1h</v>
      </c>
      <c r="J824">
        <f>IF(MONTH(Calls[[#This Row],[Date of Call]])&lt;=3,YEAR(Calls[[#This Row],[Date of Call]]),YEAR(Calls[[#This Row],[Date of Call]])+1)</f>
        <v>2026</v>
      </c>
      <c r="K824" t="str">
        <f>TEXT(Calls[[#This Row],[Date of Call]],"dddd")</f>
        <v>Saturday</v>
      </c>
      <c r="L824" t="str">
        <f>TEXT(Calls[[#This Row],[Date of Call]],"mmm")</f>
        <v>Jun</v>
      </c>
    </row>
    <row r="825" spans="1:12" x14ac:dyDescent="0.3">
      <c r="A825" t="s">
        <v>829</v>
      </c>
      <c r="B825" t="s">
        <v>1018</v>
      </c>
      <c r="C825">
        <v>119</v>
      </c>
      <c r="D825" t="s">
        <v>1032</v>
      </c>
      <c r="E825" t="s">
        <v>1197</v>
      </c>
      <c r="F825">
        <v>43</v>
      </c>
      <c r="G825">
        <v>2.7</v>
      </c>
      <c r="H825">
        <f>ROUND(Calls[[#This Row],[Satisfactory Rating]],0)</f>
        <v>3</v>
      </c>
      <c r="I825" t="str" cm="1">
        <f t="array" ref="I825">_xlfn.IFS(Calls[[#This Row],[Duration (Min)]]&lt;=30,"Under 30 mins",Calls[[#This Row],[Duration (Min)]]&lt;=60,"Under 1h",Calls[[#This Row],[Duration (Min)]]&lt;=120,"Under 2",TRUE,"More than 2h")</f>
        <v>Under 2</v>
      </c>
      <c r="J825">
        <f>IF(MONTH(Calls[[#This Row],[Date of Call]])&lt;=3,YEAR(Calls[[#This Row],[Date of Call]]),YEAR(Calls[[#This Row],[Date of Call]])+1)</f>
        <v>2026</v>
      </c>
      <c r="K825" t="str">
        <f>TEXT(Calls[[#This Row],[Date of Call]],"dddd")</f>
        <v>Saturday</v>
      </c>
      <c r="L825" t="str">
        <f>TEXT(Calls[[#This Row],[Date of Call]],"mmm")</f>
        <v>Jun</v>
      </c>
    </row>
    <row r="826" spans="1:12" x14ac:dyDescent="0.3">
      <c r="A826" t="s">
        <v>830</v>
      </c>
      <c r="B826" t="s">
        <v>1014</v>
      </c>
      <c r="C826">
        <v>68</v>
      </c>
      <c r="D826" t="s">
        <v>1028</v>
      </c>
      <c r="E826" t="s">
        <v>1197</v>
      </c>
      <c r="F826">
        <v>54</v>
      </c>
      <c r="G826">
        <v>1.4</v>
      </c>
      <c r="H826">
        <f>ROUND(Calls[[#This Row],[Satisfactory Rating]],0)</f>
        <v>1</v>
      </c>
      <c r="I826" t="str" cm="1">
        <f t="array" ref="I826">_xlfn.IFS(Calls[[#This Row],[Duration (Min)]]&lt;=30,"Under 30 mins",Calls[[#This Row],[Duration (Min)]]&lt;=60,"Under 1h",Calls[[#This Row],[Duration (Min)]]&lt;=120,"Under 2",TRUE,"More than 2h")</f>
        <v>Under 2</v>
      </c>
      <c r="J826">
        <f>IF(MONTH(Calls[[#This Row],[Date of Call]])&lt;=3,YEAR(Calls[[#This Row],[Date of Call]]),YEAR(Calls[[#This Row],[Date of Call]])+1)</f>
        <v>2026</v>
      </c>
      <c r="K826" t="str">
        <f>TEXT(Calls[[#This Row],[Date of Call]],"dddd")</f>
        <v>Saturday</v>
      </c>
      <c r="L826" t="str">
        <f>TEXT(Calls[[#This Row],[Date of Call]],"mmm")</f>
        <v>Jun</v>
      </c>
    </row>
    <row r="827" spans="1:12" x14ac:dyDescent="0.3">
      <c r="A827" t="s">
        <v>831</v>
      </c>
      <c r="B827" t="s">
        <v>1010</v>
      </c>
      <c r="C827">
        <v>120</v>
      </c>
      <c r="D827" t="s">
        <v>1031</v>
      </c>
      <c r="E827" t="s">
        <v>1198</v>
      </c>
      <c r="F827">
        <v>64</v>
      </c>
      <c r="G827">
        <v>2</v>
      </c>
      <c r="H827">
        <f>ROUND(Calls[[#This Row],[Satisfactory Rating]],0)</f>
        <v>2</v>
      </c>
      <c r="I827" t="str" cm="1">
        <f t="array" ref="I827">_xlfn.IFS(Calls[[#This Row],[Duration (Min)]]&lt;=30,"Under 30 mins",Calls[[#This Row],[Duration (Min)]]&lt;=60,"Under 1h",Calls[[#This Row],[Duration (Min)]]&lt;=120,"Under 2",TRUE,"More than 2h")</f>
        <v>Under 2</v>
      </c>
      <c r="J827">
        <f>IF(MONTH(Calls[[#This Row],[Date of Call]])&lt;=3,YEAR(Calls[[#This Row],[Date of Call]]),YEAR(Calls[[#This Row],[Date of Call]])+1)</f>
        <v>2026</v>
      </c>
      <c r="K827" t="str">
        <f>TEXT(Calls[[#This Row],[Date of Call]],"dddd")</f>
        <v>Sunday</v>
      </c>
      <c r="L827" t="str">
        <f>TEXT(Calls[[#This Row],[Date of Call]],"mmm")</f>
        <v>Jun</v>
      </c>
    </row>
    <row r="828" spans="1:12" x14ac:dyDescent="0.3">
      <c r="A828" t="s">
        <v>832</v>
      </c>
      <c r="B828" t="s">
        <v>1006</v>
      </c>
      <c r="C828">
        <v>11</v>
      </c>
      <c r="D828" t="s">
        <v>1031</v>
      </c>
      <c r="E828" t="s">
        <v>1198</v>
      </c>
      <c r="F828">
        <v>58</v>
      </c>
      <c r="G828">
        <v>4.3</v>
      </c>
      <c r="H828">
        <f>ROUND(Calls[[#This Row],[Satisfactory Rating]],0)</f>
        <v>4</v>
      </c>
      <c r="I828" t="str" cm="1">
        <f t="array" ref="I828">_xlfn.IFS(Calls[[#This Row],[Duration (Min)]]&lt;=30,"Under 30 mins",Calls[[#This Row],[Duration (Min)]]&lt;=60,"Under 1h",Calls[[#This Row],[Duration (Min)]]&lt;=120,"Under 2",TRUE,"More than 2h")</f>
        <v>Under 30 mins</v>
      </c>
      <c r="J828">
        <f>IF(MONTH(Calls[[#This Row],[Date of Call]])&lt;=3,YEAR(Calls[[#This Row],[Date of Call]]),YEAR(Calls[[#This Row],[Date of Call]])+1)</f>
        <v>2026</v>
      </c>
      <c r="K828" t="str">
        <f>TEXT(Calls[[#This Row],[Date of Call]],"dddd")</f>
        <v>Sunday</v>
      </c>
      <c r="L828" t="str">
        <f>TEXT(Calls[[#This Row],[Date of Call]],"mmm")</f>
        <v>Jun</v>
      </c>
    </row>
    <row r="829" spans="1:12" x14ac:dyDescent="0.3">
      <c r="A829" t="s">
        <v>833</v>
      </c>
      <c r="B829" t="s">
        <v>1014</v>
      </c>
      <c r="C829">
        <v>30</v>
      </c>
      <c r="D829" t="s">
        <v>1027</v>
      </c>
      <c r="E829" t="s">
        <v>1198</v>
      </c>
      <c r="F829">
        <v>106</v>
      </c>
      <c r="G829">
        <v>2.9</v>
      </c>
      <c r="H829">
        <f>ROUND(Calls[[#This Row],[Satisfactory Rating]],0)</f>
        <v>3</v>
      </c>
      <c r="I829" t="str" cm="1">
        <f t="array" ref="I829">_xlfn.IFS(Calls[[#This Row],[Duration (Min)]]&lt;=30,"Under 30 mins",Calls[[#This Row],[Duration (Min)]]&lt;=60,"Under 1h",Calls[[#This Row],[Duration (Min)]]&lt;=120,"Under 2",TRUE,"More than 2h")</f>
        <v>Under 30 mins</v>
      </c>
      <c r="J829">
        <f>IF(MONTH(Calls[[#This Row],[Date of Call]])&lt;=3,YEAR(Calls[[#This Row],[Date of Call]]),YEAR(Calls[[#This Row],[Date of Call]])+1)</f>
        <v>2026</v>
      </c>
      <c r="K829" t="str">
        <f>TEXT(Calls[[#This Row],[Date of Call]],"dddd")</f>
        <v>Sunday</v>
      </c>
      <c r="L829" t="str">
        <f>TEXT(Calls[[#This Row],[Date of Call]],"mmm")</f>
        <v>Jun</v>
      </c>
    </row>
    <row r="830" spans="1:12" x14ac:dyDescent="0.3">
      <c r="A830" t="s">
        <v>834</v>
      </c>
      <c r="B830" t="s">
        <v>1024</v>
      </c>
      <c r="C830">
        <v>145</v>
      </c>
      <c r="D830" t="s">
        <v>1026</v>
      </c>
      <c r="E830" t="s">
        <v>1198</v>
      </c>
      <c r="F830">
        <v>106</v>
      </c>
      <c r="G830">
        <v>3.9</v>
      </c>
      <c r="H830">
        <f>ROUND(Calls[[#This Row],[Satisfactory Rating]],0)</f>
        <v>4</v>
      </c>
      <c r="I830" t="str" cm="1">
        <f t="array" ref="I830">_xlfn.IFS(Calls[[#This Row],[Duration (Min)]]&lt;=30,"Under 30 mins",Calls[[#This Row],[Duration (Min)]]&lt;=60,"Under 1h",Calls[[#This Row],[Duration (Min)]]&lt;=120,"Under 2",TRUE,"More than 2h")</f>
        <v>More than 2h</v>
      </c>
      <c r="J830">
        <f>IF(MONTH(Calls[[#This Row],[Date of Call]])&lt;=3,YEAR(Calls[[#This Row],[Date of Call]]),YEAR(Calls[[#This Row],[Date of Call]])+1)</f>
        <v>2026</v>
      </c>
      <c r="K830" t="str">
        <f>TEXT(Calls[[#This Row],[Date of Call]],"dddd")</f>
        <v>Sunday</v>
      </c>
      <c r="L830" t="str">
        <f>TEXT(Calls[[#This Row],[Date of Call]],"mmm")</f>
        <v>Jun</v>
      </c>
    </row>
    <row r="831" spans="1:12" x14ac:dyDescent="0.3">
      <c r="A831" t="s">
        <v>835</v>
      </c>
      <c r="B831" t="s">
        <v>1013</v>
      </c>
      <c r="C831">
        <v>37</v>
      </c>
      <c r="D831" t="s">
        <v>1030</v>
      </c>
      <c r="E831" t="s">
        <v>1198</v>
      </c>
      <c r="F831">
        <v>98</v>
      </c>
      <c r="G831">
        <v>2.6</v>
      </c>
      <c r="H831">
        <f>ROUND(Calls[[#This Row],[Satisfactory Rating]],0)</f>
        <v>3</v>
      </c>
      <c r="I831" t="str" cm="1">
        <f t="array" ref="I831">_xlfn.IFS(Calls[[#This Row],[Duration (Min)]]&lt;=30,"Under 30 mins",Calls[[#This Row],[Duration (Min)]]&lt;=60,"Under 1h",Calls[[#This Row],[Duration (Min)]]&lt;=120,"Under 2",TRUE,"More than 2h")</f>
        <v>Under 1h</v>
      </c>
      <c r="J831">
        <f>IF(MONTH(Calls[[#This Row],[Date of Call]])&lt;=3,YEAR(Calls[[#This Row],[Date of Call]]),YEAR(Calls[[#This Row],[Date of Call]])+1)</f>
        <v>2026</v>
      </c>
      <c r="K831" t="str">
        <f>TEXT(Calls[[#This Row],[Date of Call]],"dddd")</f>
        <v>Sunday</v>
      </c>
      <c r="L831" t="str">
        <f>TEXT(Calls[[#This Row],[Date of Call]],"mmm")</f>
        <v>Jun</v>
      </c>
    </row>
    <row r="832" spans="1:12" x14ac:dyDescent="0.3">
      <c r="A832" t="s">
        <v>836</v>
      </c>
      <c r="B832" t="s">
        <v>1015</v>
      </c>
      <c r="C832">
        <v>42</v>
      </c>
      <c r="D832" t="s">
        <v>1029</v>
      </c>
      <c r="E832" t="s">
        <v>1199</v>
      </c>
      <c r="F832">
        <v>131</v>
      </c>
      <c r="G832">
        <v>1.6</v>
      </c>
      <c r="H832">
        <f>ROUND(Calls[[#This Row],[Satisfactory Rating]],0)</f>
        <v>2</v>
      </c>
      <c r="I832" t="str" cm="1">
        <f t="array" ref="I832">_xlfn.IFS(Calls[[#This Row],[Duration (Min)]]&lt;=30,"Under 30 mins",Calls[[#This Row],[Duration (Min)]]&lt;=60,"Under 1h",Calls[[#This Row],[Duration (Min)]]&lt;=120,"Under 2",TRUE,"More than 2h")</f>
        <v>Under 1h</v>
      </c>
      <c r="J832">
        <f>IF(MONTH(Calls[[#This Row],[Date of Call]])&lt;=3,YEAR(Calls[[#This Row],[Date of Call]]),YEAR(Calls[[#This Row],[Date of Call]])+1)</f>
        <v>2026</v>
      </c>
      <c r="K832" t="str">
        <f>TEXT(Calls[[#This Row],[Date of Call]],"dddd")</f>
        <v>Monday</v>
      </c>
      <c r="L832" t="str">
        <f>TEXT(Calls[[#This Row],[Date of Call]],"mmm")</f>
        <v>Jun</v>
      </c>
    </row>
    <row r="833" spans="1:12" x14ac:dyDescent="0.3">
      <c r="A833" t="s">
        <v>837</v>
      </c>
      <c r="B833" t="s">
        <v>1009</v>
      </c>
      <c r="C833">
        <v>39</v>
      </c>
      <c r="D833" t="s">
        <v>1032</v>
      </c>
      <c r="E833" t="s">
        <v>1199</v>
      </c>
      <c r="F833">
        <v>89</v>
      </c>
      <c r="G833">
        <v>1.6</v>
      </c>
      <c r="H833">
        <f>ROUND(Calls[[#This Row],[Satisfactory Rating]],0)</f>
        <v>2</v>
      </c>
      <c r="I833" t="str" cm="1">
        <f t="array" ref="I833">_xlfn.IFS(Calls[[#This Row],[Duration (Min)]]&lt;=30,"Under 30 mins",Calls[[#This Row],[Duration (Min)]]&lt;=60,"Under 1h",Calls[[#This Row],[Duration (Min)]]&lt;=120,"Under 2",TRUE,"More than 2h")</f>
        <v>Under 1h</v>
      </c>
      <c r="J833">
        <f>IF(MONTH(Calls[[#This Row],[Date of Call]])&lt;=3,YEAR(Calls[[#This Row],[Date of Call]]),YEAR(Calls[[#This Row],[Date of Call]])+1)</f>
        <v>2026</v>
      </c>
      <c r="K833" t="str">
        <f>TEXT(Calls[[#This Row],[Date of Call]],"dddd")</f>
        <v>Monday</v>
      </c>
      <c r="L833" t="str">
        <f>TEXT(Calls[[#This Row],[Date of Call]],"mmm")</f>
        <v>Jun</v>
      </c>
    </row>
    <row r="834" spans="1:12" x14ac:dyDescent="0.3">
      <c r="A834" t="s">
        <v>838</v>
      </c>
      <c r="B834" t="s">
        <v>1012</v>
      </c>
      <c r="C834">
        <v>19</v>
      </c>
      <c r="D834" t="s">
        <v>1031</v>
      </c>
      <c r="E834" t="s">
        <v>1199</v>
      </c>
      <c r="F834">
        <v>126</v>
      </c>
      <c r="G834">
        <v>1.1000000000000001</v>
      </c>
      <c r="H834">
        <f>ROUND(Calls[[#This Row],[Satisfactory Rating]],0)</f>
        <v>1</v>
      </c>
      <c r="I834" t="str" cm="1">
        <f t="array" ref="I834">_xlfn.IFS(Calls[[#This Row],[Duration (Min)]]&lt;=30,"Under 30 mins",Calls[[#This Row],[Duration (Min)]]&lt;=60,"Under 1h",Calls[[#This Row],[Duration (Min)]]&lt;=120,"Under 2",TRUE,"More than 2h")</f>
        <v>Under 30 mins</v>
      </c>
      <c r="J834">
        <f>IF(MONTH(Calls[[#This Row],[Date of Call]])&lt;=3,YEAR(Calls[[#This Row],[Date of Call]]),YEAR(Calls[[#This Row],[Date of Call]])+1)</f>
        <v>2026</v>
      </c>
      <c r="K834" t="str">
        <f>TEXT(Calls[[#This Row],[Date of Call]],"dddd")</f>
        <v>Monday</v>
      </c>
      <c r="L834" t="str">
        <f>TEXT(Calls[[#This Row],[Date of Call]],"mmm")</f>
        <v>Jun</v>
      </c>
    </row>
    <row r="835" spans="1:12" x14ac:dyDescent="0.3">
      <c r="A835" t="s">
        <v>839</v>
      </c>
      <c r="B835" t="s">
        <v>1023</v>
      </c>
      <c r="C835">
        <v>46</v>
      </c>
      <c r="D835" t="s">
        <v>1026</v>
      </c>
      <c r="E835" t="s">
        <v>1199</v>
      </c>
      <c r="F835">
        <v>38</v>
      </c>
      <c r="G835">
        <v>3.2</v>
      </c>
      <c r="H835">
        <f>ROUND(Calls[[#This Row],[Satisfactory Rating]],0)</f>
        <v>3</v>
      </c>
      <c r="I835" t="str" cm="1">
        <f t="array" ref="I835">_xlfn.IFS(Calls[[#This Row],[Duration (Min)]]&lt;=30,"Under 30 mins",Calls[[#This Row],[Duration (Min)]]&lt;=60,"Under 1h",Calls[[#This Row],[Duration (Min)]]&lt;=120,"Under 2",TRUE,"More than 2h")</f>
        <v>Under 1h</v>
      </c>
      <c r="J835">
        <f>IF(MONTH(Calls[[#This Row],[Date of Call]])&lt;=3,YEAR(Calls[[#This Row],[Date of Call]]),YEAR(Calls[[#This Row],[Date of Call]])+1)</f>
        <v>2026</v>
      </c>
      <c r="K835" t="str">
        <f>TEXT(Calls[[#This Row],[Date of Call]],"dddd")</f>
        <v>Monday</v>
      </c>
      <c r="L835" t="str">
        <f>TEXT(Calls[[#This Row],[Date of Call]],"mmm")</f>
        <v>Jun</v>
      </c>
    </row>
    <row r="836" spans="1:12" x14ac:dyDescent="0.3">
      <c r="A836" t="s">
        <v>840</v>
      </c>
      <c r="B836" t="s">
        <v>1009</v>
      </c>
      <c r="C836">
        <v>90</v>
      </c>
      <c r="D836" t="s">
        <v>1028</v>
      </c>
      <c r="E836" t="s">
        <v>1199</v>
      </c>
      <c r="F836">
        <v>124</v>
      </c>
      <c r="G836">
        <v>2.2000000000000002</v>
      </c>
      <c r="H836">
        <f>ROUND(Calls[[#This Row],[Satisfactory Rating]],0)</f>
        <v>2</v>
      </c>
      <c r="I836" t="str" cm="1">
        <f t="array" ref="I836">_xlfn.IFS(Calls[[#This Row],[Duration (Min)]]&lt;=30,"Under 30 mins",Calls[[#This Row],[Duration (Min)]]&lt;=60,"Under 1h",Calls[[#This Row],[Duration (Min)]]&lt;=120,"Under 2",TRUE,"More than 2h")</f>
        <v>Under 2</v>
      </c>
      <c r="J836">
        <f>IF(MONTH(Calls[[#This Row],[Date of Call]])&lt;=3,YEAR(Calls[[#This Row],[Date of Call]]),YEAR(Calls[[#This Row],[Date of Call]])+1)</f>
        <v>2026</v>
      </c>
      <c r="K836" t="str">
        <f>TEXT(Calls[[#This Row],[Date of Call]],"dddd")</f>
        <v>Monday</v>
      </c>
      <c r="L836" t="str">
        <f>TEXT(Calls[[#This Row],[Date of Call]],"mmm")</f>
        <v>Jun</v>
      </c>
    </row>
    <row r="837" spans="1:12" x14ac:dyDescent="0.3">
      <c r="A837" t="s">
        <v>841</v>
      </c>
      <c r="B837" t="s">
        <v>1025</v>
      </c>
      <c r="C837">
        <v>145</v>
      </c>
      <c r="D837" t="s">
        <v>1032</v>
      </c>
      <c r="E837" t="s">
        <v>1200</v>
      </c>
      <c r="F837">
        <v>146</v>
      </c>
      <c r="G837">
        <v>2.8</v>
      </c>
      <c r="H837">
        <f>ROUND(Calls[[#This Row],[Satisfactory Rating]],0)</f>
        <v>3</v>
      </c>
      <c r="I837" t="str" cm="1">
        <f t="array" ref="I837">_xlfn.IFS(Calls[[#This Row],[Duration (Min)]]&lt;=30,"Under 30 mins",Calls[[#This Row],[Duration (Min)]]&lt;=60,"Under 1h",Calls[[#This Row],[Duration (Min)]]&lt;=120,"Under 2",TRUE,"More than 2h")</f>
        <v>More than 2h</v>
      </c>
      <c r="J837">
        <f>IF(MONTH(Calls[[#This Row],[Date of Call]])&lt;=3,YEAR(Calls[[#This Row],[Date of Call]]),YEAR(Calls[[#This Row],[Date of Call]])+1)</f>
        <v>2026</v>
      </c>
      <c r="K837" t="str">
        <f>TEXT(Calls[[#This Row],[Date of Call]],"dddd")</f>
        <v>Tuesday</v>
      </c>
      <c r="L837" t="str">
        <f>TEXT(Calls[[#This Row],[Date of Call]],"mmm")</f>
        <v>Jun</v>
      </c>
    </row>
    <row r="838" spans="1:12" x14ac:dyDescent="0.3">
      <c r="A838" t="s">
        <v>842</v>
      </c>
      <c r="B838" t="s">
        <v>1018</v>
      </c>
      <c r="C838">
        <v>62</v>
      </c>
      <c r="D838" t="s">
        <v>1026</v>
      </c>
      <c r="E838" t="s">
        <v>1200</v>
      </c>
      <c r="F838">
        <v>61</v>
      </c>
      <c r="G838">
        <v>3.8</v>
      </c>
      <c r="H838">
        <f>ROUND(Calls[[#This Row],[Satisfactory Rating]],0)</f>
        <v>4</v>
      </c>
      <c r="I838" t="str" cm="1">
        <f t="array" ref="I838">_xlfn.IFS(Calls[[#This Row],[Duration (Min)]]&lt;=30,"Under 30 mins",Calls[[#This Row],[Duration (Min)]]&lt;=60,"Under 1h",Calls[[#This Row],[Duration (Min)]]&lt;=120,"Under 2",TRUE,"More than 2h")</f>
        <v>Under 2</v>
      </c>
      <c r="J838">
        <f>IF(MONTH(Calls[[#This Row],[Date of Call]])&lt;=3,YEAR(Calls[[#This Row],[Date of Call]]),YEAR(Calls[[#This Row],[Date of Call]])+1)</f>
        <v>2026</v>
      </c>
      <c r="K838" t="str">
        <f>TEXT(Calls[[#This Row],[Date of Call]],"dddd")</f>
        <v>Tuesday</v>
      </c>
      <c r="L838" t="str">
        <f>TEXT(Calls[[#This Row],[Date of Call]],"mmm")</f>
        <v>Jun</v>
      </c>
    </row>
    <row r="839" spans="1:12" x14ac:dyDescent="0.3">
      <c r="A839" t="s">
        <v>843</v>
      </c>
      <c r="B839" t="s">
        <v>1017</v>
      </c>
      <c r="C839">
        <v>109</v>
      </c>
      <c r="D839" t="s">
        <v>1029</v>
      </c>
      <c r="E839" t="s">
        <v>1200</v>
      </c>
      <c r="F839">
        <v>145</v>
      </c>
      <c r="G839">
        <v>3.8</v>
      </c>
      <c r="H839">
        <f>ROUND(Calls[[#This Row],[Satisfactory Rating]],0)</f>
        <v>4</v>
      </c>
      <c r="I839" t="str" cm="1">
        <f t="array" ref="I839">_xlfn.IFS(Calls[[#This Row],[Duration (Min)]]&lt;=30,"Under 30 mins",Calls[[#This Row],[Duration (Min)]]&lt;=60,"Under 1h",Calls[[#This Row],[Duration (Min)]]&lt;=120,"Under 2",TRUE,"More than 2h")</f>
        <v>Under 2</v>
      </c>
      <c r="J839">
        <f>IF(MONTH(Calls[[#This Row],[Date of Call]])&lt;=3,YEAR(Calls[[#This Row],[Date of Call]]),YEAR(Calls[[#This Row],[Date of Call]])+1)</f>
        <v>2026</v>
      </c>
      <c r="K839" t="str">
        <f>TEXT(Calls[[#This Row],[Date of Call]],"dddd")</f>
        <v>Tuesday</v>
      </c>
      <c r="L839" t="str">
        <f>TEXT(Calls[[#This Row],[Date of Call]],"mmm")</f>
        <v>Jun</v>
      </c>
    </row>
    <row r="840" spans="1:12" x14ac:dyDescent="0.3">
      <c r="A840" t="s">
        <v>844</v>
      </c>
      <c r="B840" t="s">
        <v>1015</v>
      </c>
      <c r="C840">
        <v>17</v>
      </c>
      <c r="D840" t="s">
        <v>1026</v>
      </c>
      <c r="E840" t="s">
        <v>1200</v>
      </c>
      <c r="F840">
        <v>146</v>
      </c>
      <c r="G840">
        <v>4.3</v>
      </c>
      <c r="H840">
        <f>ROUND(Calls[[#This Row],[Satisfactory Rating]],0)</f>
        <v>4</v>
      </c>
      <c r="I840" t="str" cm="1">
        <f t="array" ref="I840">_xlfn.IFS(Calls[[#This Row],[Duration (Min)]]&lt;=30,"Under 30 mins",Calls[[#This Row],[Duration (Min)]]&lt;=60,"Under 1h",Calls[[#This Row],[Duration (Min)]]&lt;=120,"Under 2",TRUE,"More than 2h")</f>
        <v>Under 30 mins</v>
      </c>
      <c r="J840">
        <f>IF(MONTH(Calls[[#This Row],[Date of Call]])&lt;=3,YEAR(Calls[[#This Row],[Date of Call]]),YEAR(Calls[[#This Row],[Date of Call]])+1)</f>
        <v>2026</v>
      </c>
      <c r="K840" t="str">
        <f>TEXT(Calls[[#This Row],[Date of Call]],"dddd")</f>
        <v>Tuesday</v>
      </c>
      <c r="L840" t="str">
        <f>TEXT(Calls[[#This Row],[Date of Call]],"mmm")</f>
        <v>Jun</v>
      </c>
    </row>
    <row r="841" spans="1:12" x14ac:dyDescent="0.3">
      <c r="A841" t="s">
        <v>845</v>
      </c>
      <c r="B841" t="s">
        <v>1009</v>
      </c>
      <c r="C841">
        <v>117</v>
      </c>
      <c r="D841" t="s">
        <v>1027</v>
      </c>
      <c r="E841" t="s">
        <v>1200</v>
      </c>
      <c r="F841">
        <v>135</v>
      </c>
      <c r="G841">
        <v>3.9</v>
      </c>
      <c r="H841">
        <f>ROUND(Calls[[#This Row],[Satisfactory Rating]],0)</f>
        <v>4</v>
      </c>
      <c r="I841" t="str" cm="1">
        <f t="array" ref="I841">_xlfn.IFS(Calls[[#This Row],[Duration (Min)]]&lt;=30,"Under 30 mins",Calls[[#This Row],[Duration (Min)]]&lt;=60,"Under 1h",Calls[[#This Row],[Duration (Min)]]&lt;=120,"Under 2",TRUE,"More than 2h")</f>
        <v>Under 2</v>
      </c>
      <c r="J841">
        <f>IF(MONTH(Calls[[#This Row],[Date of Call]])&lt;=3,YEAR(Calls[[#This Row],[Date of Call]]),YEAR(Calls[[#This Row],[Date of Call]])+1)</f>
        <v>2026</v>
      </c>
      <c r="K841" t="str">
        <f>TEXT(Calls[[#This Row],[Date of Call]],"dddd")</f>
        <v>Tuesday</v>
      </c>
      <c r="L841" t="str">
        <f>TEXT(Calls[[#This Row],[Date of Call]],"mmm")</f>
        <v>Jun</v>
      </c>
    </row>
    <row r="842" spans="1:12" x14ac:dyDescent="0.3">
      <c r="A842" t="s">
        <v>846</v>
      </c>
      <c r="B842" t="s">
        <v>1007</v>
      </c>
      <c r="C842">
        <v>116</v>
      </c>
      <c r="D842" t="s">
        <v>1028</v>
      </c>
      <c r="E842" t="s">
        <v>1201</v>
      </c>
      <c r="F842">
        <v>122</v>
      </c>
      <c r="G842">
        <v>3</v>
      </c>
      <c r="H842">
        <f>ROUND(Calls[[#This Row],[Satisfactory Rating]],0)</f>
        <v>3</v>
      </c>
      <c r="I842" t="str" cm="1">
        <f t="array" ref="I842">_xlfn.IFS(Calls[[#This Row],[Duration (Min)]]&lt;=30,"Under 30 mins",Calls[[#This Row],[Duration (Min)]]&lt;=60,"Under 1h",Calls[[#This Row],[Duration (Min)]]&lt;=120,"Under 2",TRUE,"More than 2h")</f>
        <v>Under 2</v>
      </c>
      <c r="J842">
        <f>IF(MONTH(Calls[[#This Row],[Date of Call]])&lt;=3,YEAR(Calls[[#This Row],[Date of Call]]),YEAR(Calls[[#This Row],[Date of Call]])+1)</f>
        <v>2026</v>
      </c>
      <c r="K842" t="str">
        <f>TEXT(Calls[[#This Row],[Date of Call]],"dddd")</f>
        <v>Wednesday</v>
      </c>
      <c r="L842" t="str">
        <f>TEXT(Calls[[#This Row],[Date of Call]],"mmm")</f>
        <v>Jun</v>
      </c>
    </row>
    <row r="843" spans="1:12" x14ac:dyDescent="0.3">
      <c r="A843" t="s">
        <v>847</v>
      </c>
      <c r="B843" t="s">
        <v>1008</v>
      </c>
      <c r="C843">
        <v>103</v>
      </c>
      <c r="D843" t="s">
        <v>1029</v>
      </c>
      <c r="E843" t="s">
        <v>1201</v>
      </c>
      <c r="F843">
        <v>98</v>
      </c>
      <c r="G843">
        <v>4</v>
      </c>
      <c r="H843">
        <f>ROUND(Calls[[#This Row],[Satisfactory Rating]],0)</f>
        <v>4</v>
      </c>
      <c r="I843" t="str" cm="1">
        <f t="array" ref="I843">_xlfn.IFS(Calls[[#This Row],[Duration (Min)]]&lt;=30,"Under 30 mins",Calls[[#This Row],[Duration (Min)]]&lt;=60,"Under 1h",Calls[[#This Row],[Duration (Min)]]&lt;=120,"Under 2",TRUE,"More than 2h")</f>
        <v>Under 2</v>
      </c>
      <c r="J843">
        <f>IF(MONTH(Calls[[#This Row],[Date of Call]])&lt;=3,YEAR(Calls[[#This Row],[Date of Call]]),YEAR(Calls[[#This Row],[Date of Call]])+1)</f>
        <v>2026</v>
      </c>
      <c r="K843" t="str">
        <f>TEXT(Calls[[#This Row],[Date of Call]],"dddd")</f>
        <v>Wednesday</v>
      </c>
      <c r="L843" t="str">
        <f>TEXT(Calls[[#This Row],[Date of Call]],"mmm")</f>
        <v>Jun</v>
      </c>
    </row>
    <row r="844" spans="1:12" x14ac:dyDescent="0.3">
      <c r="A844" t="s">
        <v>848</v>
      </c>
      <c r="B844" t="s">
        <v>1023</v>
      </c>
      <c r="C844">
        <v>110</v>
      </c>
      <c r="D844" t="s">
        <v>1029</v>
      </c>
      <c r="E844" t="s">
        <v>1201</v>
      </c>
      <c r="F844">
        <v>82</v>
      </c>
      <c r="G844">
        <v>3.8</v>
      </c>
      <c r="H844">
        <f>ROUND(Calls[[#This Row],[Satisfactory Rating]],0)</f>
        <v>4</v>
      </c>
      <c r="I844" t="str" cm="1">
        <f t="array" ref="I844">_xlfn.IFS(Calls[[#This Row],[Duration (Min)]]&lt;=30,"Under 30 mins",Calls[[#This Row],[Duration (Min)]]&lt;=60,"Under 1h",Calls[[#This Row],[Duration (Min)]]&lt;=120,"Under 2",TRUE,"More than 2h")</f>
        <v>Under 2</v>
      </c>
      <c r="J844">
        <f>IF(MONTH(Calls[[#This Row],[Date of Call]])&lt;=3,YEAR(Calls[[#This Row],[Date of Call]]),YEAR(Calls[[#This Row],[Date of Call]])+1)</f>
        <v>2026</v>
      </c>
      <c r="K844" t="str">
        <f>TEXT(Calls[[#This Row],[Date of Call]],"dddd")</f>
        <v>Wednesday</v>
      </c>
      <c r="L844" t="str">
        <f>TEXT(Calls[[#This Row],[Date of Call]],"mmm")</f>
        <v>Jun</v>
      </c>
    </row>
    <row r="845" spans="1:12" x14ac:dyDescent="0.3">
      <c r="A845" t="s">
        <v>849</v>
      </c>
      <c r="B845" t="s">
        <v>1022</v>
      </c>
      <c r="C845">
        <v>33</v>
      </c>
      <c r="D845" t="s">
        <v>1032</v>
      </c>
      <c r="E845" t="s">
        <v>1201</v>
      </c>
      <c r="F845">
        <v>76</v>
      </c>
      <c r="G845">
        <v>2.7</v>
      </c>
      <c r="H845">
        <f>ROUND(Calls[[#This Row],[Satisfactory Rating]],0)</f>
        <v>3</v>
      </c>
      <c r="I845" t="str" cm="1">
        <f t="array" ref="I845">_xlfn.IFS(Calls[[#This Row],[Duration (Min)]]&lt;=30,"Under 30 mins",Calls[[#This Row],[Duration (Min)]]&lt;=60,"Under 1h",Calls[[#This Row],[Duration (Min)]]&lt;=120,"Under 2",TRUE,"More than 2h")</f>
        <v>Under 1h</v>
      </c>
      <c r="J845">
        <f>IF(MONTH(Calls[[#This Row],[Date of Call]])&lt;=3,YEAR(Calls[[#This Row],[Date of Call]]),YEAR(Calls[[#This Row],[Date of Call]])+1)</f>
        <v>2026</v>
      </c>
      <c r="K845" t="str">
        <f>TEXT(Calls[[#This Row],[Date of Call]],"dddd")</f>
        <v>Wednesday</v>
      </c>
      <c r="L845" t="str">
        <f>TEXT(Calls[[#This Row],[Date of Call]],"mmm")</f>
        <v>Jun</v>
      </c>
    </row>
    <row r="846" spans="1:12" x14ac:dyDescent="0.3">
      <c r="A846" t="s">
        <v>850</v>
      </c>
      <c r="B846" t="s">
        <v>1025</v>
      </c>
      <c r="C846">
        <v>73</v>
      </c>
      <c r="D846" t="s">
        <v>1029</v>
      </c>
      <c r="E846" t="s">
        <v>1201</v>
      </c>
      <c r="F846">
        <v>124</v>
      </c>
      <c r="G846">
        <v>3.3</v>
      </c>
      <c r="H846">
        <f>ROUND(Calls[[#This Row],[Satisfactory Rating]],0)</f>
        <v>3</v>
      </c>
      <c r="I846" t="str" cm="1">
        <f t="array" ref="I846">_xlfn.IFS(Calls[[#This Row],[Duration (Min)]]&lt;=30,"Under 30 mins",Calls[[#This Row],[Duration (Min)]]&lt;=60,"Under 1h",Calls[[#This Row],[Duration (Min)]]&lt;=120,"Under 2",TRUE,"More than 2h")</f>
        <v>Under 2</v>
      </c>
      <c r="J846">
        <f>IF(MONTH(Calls[[#This Row],[Date of Call]])&lt;=3,YEAR(Calls[[#This Row],[Date of Call]]),YEAR(Calls[[#This Row],[Date of Call]])+1)</f>
        <v>2026</v>
      </c>
      <c r="K846" t="str">
        <f>TEXT(Calls[[#This Row],[Date of Call]],"dddd")</f>
        <v>Wednesday</v>
      </c>
      <c r="L846" t="str">
        <f>TEXT(Calls[[#This Row],[Date of Call]],"mmm")</f>
        <v>Jun</v>
      </c>
    </row>
    <row r="847" spans="1:12" x14ac:dyDescent="0.3">
      <c r="A847" t="s">
        <v>851</v>
      </c>
      <c r="B847" t="s">
        <v>1007</v>
      </c>
      <c r="C847">
        <v>66</v>
      </c>
      <c r="D847" t="s">
        <v>1031</v>
      </c>
      <c r="E847" t="s">
        <v>1202</v>
      </c>
      <c r="F847">
        <v>55</v>
      </c>
      <c r="G847">
        <v>2.8</v>
      </c>
      <c r="H847">
        <f>ROUND(Calls[[#This Row],[Satisfactory Rating]],0)</f>
        <v>3</v>
      </c>
      <c r="I847" t="str" cm="1">
        <f t="array" ref="I847">_xlfn.IFS(Calls[[#This Row],[Duration (Min)]]&lt;=30,"Under 30 mins",Calls[[#This Row],[Duration (Min)]]&lt;=60,"Under 1h",Calls[[#This Row],[Duration (Min)]]&lt;=120,"Under 2",TRUE,"More than 2h")</f>
        <v>Under 2</v>
      </c>
      <c r="J847">
        <f>IF(MONTH(Calls[[#This Row],[Date of Call]])&lt;=3,YEAR(Calls[[#This Row],[Date of Call]]),YEAR(Calls[[#This Row],[Date of Call]])+1)</f>
        <v>2026</v>
      </c>
      <c r="K847" t="str">
        <f>TEXT(Calls[[#This Row],[Date of Call]],"dddd")</f>
        <v>Thursday</v>
      </c>
      <c r="L847" t="str">
        <f>TEXT(Calls[[#This Row],[Date of Call]],"mmm")</f>
        <v>Jun</v>
      </c>
    </row>
    <row r="848" spans="1:12" x14ac:dyDescent="0.3">
      <c r="A848" t="s">
        <v>852</v>
      </c>
      <c r="B848" t="s">
        <v>1015</v>
      </c>
      <c r="C848">
        <v>48</v>
      </c>
      <c r="D848" t="s">
        <v>1032</v>
      </c>
      <c r="E848" t="s">
        <v>1202</v>
      </c>
      <c r="F848">
        <v>44</v>
      </c>
      <c r="G848">
        <v>4.5999999999999996</v>
      </c>
      <c r="H848">
        <f>ROUND(Calls[[#This Row],[Satisfactory Rating]],0)</f>
        <v>5</v>
      </c>
      <c r="I848" t="str" cm="1">
        <f t="array" ref="I848">_xlfn.IFS(Calls[[#This Row],[Duration (Min)]]&lt;=30,"Under 30 mins",Calls[[#This Row],[Duration (Min)]]&lt;=60,"Under 1h",Calls[[#This Row],[Duration (Min)]]&lt;=120,"Under 2",TRUE,"More than 2h")</f>
        <v>Under 1h</v>
      </c>
      <c r="J848">
        <f>IF(MONTH(Calls[[#This Row],[Date of Call]])&lt;=3,YEAR(Calls[[#This Row],[Date of Call]]),YEAR(Calls[[#This Row],[Date of Call]])+1)</f>
        <v>2026</v>
      </c>
      <c r="K848" t="str">
        <f>TEXT(Calls[[#This Row],[Date of Call]],"dddd")</f>
        <v>Thursday</v>
      </c>
      <c r="L848" t="str">
        <f>TEXT(Calls[[#This Row],[Date of Call]],"mmm")</f>
        <v>Jun</v>
      </c>
    </row>
    <row r="849" spans="1:12" x14ac:dyDescent="0.3">
      <c r="A849" t="s">
        <v>853</v>
      </c>
      <c r="B849" t="s">
        <v>1020</v>
      </c>
      <c r="C849">
        <v>128</v>
      </c>
      <c r="D849" t="s">
        <v>1029</v>
      </c>
      <c r="E849" t="s">
        <v>1202</v>
      </c>
      <c r="F849">
        <v>53</v>
      </c>
      <c r="G849">
        <v>1.5</v>
      </c>
      <c r="H849">
        <f>ROUND(Calls[[#This Row],[Satisfactory Rating]],0)</f>
        <v>2</v>
      </c>
      <c r="I849" t="str" cm="1">
        <f t="array" ref="I849">_xlfn.IFS(Calls[[#This Row],[Duration (Min)]]&lt;=30,"Under 30 mins",Calls[[#This Row],[Duration (Min)]]&lt;=60,"Under 1h",Calls[[#This Row],[Duration (Min)]]&lt;=120,"Under 2",TRUE,"More than 2h")</f>
        <v>More than 2h</v>
      </c>
      <c r="J849">
        <f>IF(MONTH(Calls[[#This Row],[Date of Call]])&lt;=3,YEAR(Calls[[#This Row],[Date of Call]]),YEAR(Calls[[#This Row],[Date of Call]])+1)</f>
        <v>2026</v>
      </c>
      <c r="K849" t="str">
        <f>TEXT(Calls[[#This Row],[Date of Call]],"dddd")</f>
        <v>Thursday</v>
      </c>
      <c r="L849" t="str">
        <f>TEXT(Calls[[#This Row],[Date of Call]],"mmm")</f>
        <v>Jun</v>
      </c>
    </row>
    <row r="850" spans="1:12" x14ac:dyDescent="0.3">
      <c r="A850" t="s">
        <v>854</v>
      </c>
      <c r="B850" t="s">
        <v>1014</v>
      </c>
      <c r="C850">
        <v>57</v>
      </c>
      <c r="D850" t="s">
        <v>1027</v>
      </c>
      <c r="E850" t="s">
        <v>1202</v>
      </c>
      <c r="F850">
        <v>113</v>
      </c>
      <c r="G850">
        <v>5</v>
      </c>
      <c r="H850">
        <f>ROUND(Calls[[#This Row],[Satisfactory Rating]],0)</f>
        <v>5</v>
      </c>
      <c r="I850" t="str" cm="1">
        <f t="array" ref="I850">_xlfn.IFS(Calls[[#This Row],[Duration (Min)]]&lt;=30,"Under 30 mins",Calls[[#This Row],[Duration (Min)]]&lt;=60,"Under 1h",Calls[[#This Row],[Duration (Min)]]&lt;=120,"Under 2",TRUE,"More than 2h")</f>
        <v>Under 1h</v>
      </c>
      <c r="J850">
        <f>IF(MONTH(Calls[[#This Row],[Date of Call]])&lt;=3,YEAR(Calls[[#This Row],[Date of Call]]),YEAR(Calls[[#This Row],[Date of Call]])+1)</f>
        <v>2026</v>
      </c>
      <c r="K850" t="str">
        <f>TEXT(Calls[[#This Row],[Date of Call]],"dddd")</f>
        <v>Thursday</v>
      </c>
      <c r="L850" t="str">
        <f>TEXT(Calls[[#This Row],[Date of Call]],"mmm")</f>
        <v>Jun</v>
      </c>
    </row>
    <row r="851" spans="1:12" x14ac:dyDescent="0.3">
      <c r="A851" t="s">
        <v>855</v>
      </c>
      <c r="B851" t="s">
        <v>1015</v>
      </c>
      <c r="C851">
        <v>160</v>
      </c>
      <c r="D851" t="s">
        <v>1030</v>
      </c>
      <c r="E851" t="s">
        <v>1202</v>
      </c>
      <c r="F851">
        <v>51</v>
      </c>
      <c r="G851">
        <v>3.5</v>
      </c>
      <c r="H851">
        <f>ROUND(Calls[[#This Row],[Satisfactory Rating]],0)</f>
        <v>4</v>
      </c>
      <c r="I851" t="str" cm="1">
        <f t="array" ref="I851">_xlfn.IFS(Calls[[#This Row],[Duration (Min)]]&lt;=30,"Under 30 mins",Calls[[#This Row],[Duration (Min)]]&lt;=60,"Under 1h",Calls[[#This Row],[Duration (Min)]]&lt;=120,"Under 2",TRUE,"More than 2h")</f>
        <v>More than 2h</v>
      </c>
      <c r="J851">
        <f>IF(MONTH(Calls[[#This Row],[Date of Call]])&lt;=3,YEAR(Calls[[#This Row],[Date of Call]]),YEAR(Calls[[#This Row],[Date of Call]])+1)</f>
        <v>2026</v>
      </c>
      <c r="K851" t="str">
        <f>TEXT(Calls[[#This Row],[Date of Call]],"dddd")</f>
        <v>Thursday</v>
      </c>
      <c r="L851" t="str">
        <f>TEXT(Calls[[#This Row],[Date of Call]],"mmm")</f>
        <v>Jun</v>
      </c>
    </row>
    <row r="852" spans="1:12" x14ac:dyDescent="0.3">
      <c r="A852" t="s">
        <v>856</v>
      </c>
      <c r="B852" t="s">
        <v>1019</v>
      </c>
      <c r="C852">
        <v>114</v>
      </c>
      <c r="D852" t="s">
        <v>1030</v>
      </c>
      <c r="E852" t="s">
        <v>1203</v>
      </c>
      <c r="F852">
        <v>32</v>
      </c>
      <c r="G852">
        <v>1.2</v>
      </c>
      <c r="H852">
        <f>ROUND(Calls[[#This Row],[Satisfactory Rating]],0)</f>
        <v>1</v>
      </c>
      <c r="I852" t="str" cm="1">
        <f t="array" ref="I852">_xlfn.IFS(Calls[[#This Row],[Duration (Min)]]&lt;=30,"Under 30 mins",Calls[[#This Row],[Duration (Min)]]&lt;=60,"Under 1h",Calls[[#This Row],[Duration (Min)]]&lt;=120,"Under 2",TRUE,"More than 2h")</f>
        <v>Under 2</v>
      </c>
      <c r="J852">
        <f>IF(MONTH(Calls[[#This Row],[Date of Call]])&lt;=3,YEAR(Calls[[#This Row],[Date of Call]]),YEAR(Calls[[#This Row],[Date of Call]])+1)</f>
        <v>2026</v>
      </c>
      <c r="K852" t="str">
        <f>TEXT(Calls[[#This Row],[Date of Call]],"dddd")</f>
        <v>Friday</v>
      </c>
      <c r="L852" t="str">
        <f>TEXT(Calls[[#This Row],[Date of Call]],"mmm")</f>
        <v>Jun</v>
      </c>
    </row>
    <row r="853" spans="1:12" x14ac:dyDescent="0.3">
      <c r="A853" t="s">
        <v>857</v>
      </c>
      <c r="B853" t="s">
        <v>1019</v>
      </c>
      <c r="C853">
        <v>116</v>
      </c>
      <c r="D853" t="s">
        <v>1027</v>
      </c>
      <c r="E853" t="s">
        <v>1203</v>
      </c>
      <c r="F853">
        <v>149</v>
      </c>
      <c r="G853">
        <v>3.3</v>
      </c>
      <c r="H853">
        <f>ROUND(Calls[[#This Row],[Satisfactory Rating]],0)</f>
        <v>3</v>
      </c>
      <c r="I853" t="str" cm="1">
        <f t="array" ref="I853">_xlfn.IFS(Calls[[#This Row],[Duration (Min)]]&lt;=30,"Under 30 mins",Calls[[#This Row],[Duration (Min)]]&lt;=60,"Under 1h",Calls[[#This Row],[Duration (Min)]]&lt;=120,"Under 2",TRUE,"More than 2h")</f>
        <v>Under 2</v>
      </c>
      <c r="J853">
        <f>IF(MONTH(Calls[[#This Row],[Date of Call]])&lt;=3,YEAR(Calls[[#This Row],[Date of Call]]),YEAR(Calls[[#This Row],[Date of Call]])+1)</f>
        <v>2026</v>
      </c>
      <c r="K853" t="str">
        <f>TEXT(Calls[[#This Row],[Date of Call]],"dddd")</f>
        <v>Friday</v>
      </c>
      <c r="L853" t="str">
        <f>TEXT(Calls[[#This Row],[Date of Call]],"mmm")</f>
        <v>Jun</v>
      </c>
    </row>
    <row r="854" spans="1:12" x14ac:dyDescent="0.3">
      <c r="A854" t="s">
        <v>858</v>
      </c>
      <c r="B854" t="s">
        <v>1011</v>
      </c>
      <c r="C854">
        <v>90</v>
      </c>
      <c r="D854" t="s">
        <v>1030</v>
      </c>
      <c r="E854" t="s">
        <v>1203</v>
      </c>
      <c r="F854">
        <v>144</v>
      </c>
      <c r="G854">
        <v>2.6</v>
      </c>
      <c r="H854">
        <f>ROUND(Calls[[#This Row],[Satisfactory Rating]],0)</f>
        <v>3</v>
      </c>
      <c r="I854" t="str" cm="1">
        <f t="array" ref="I854">_xlfn.IFS(Calls[[#This Row],[Duration (Min)]]&lt;=30,"Under 30 mins",Calls[[#This Row],[Duration (Min)]]&lt;=60,"Under 1h",Calls[[#This Row],[Duration (Min)]]&lt;=120,"Under 2",TRUE,"More than 2h")</f>
        <v>Under 2</v>
      </c>
      <c r="J854">
        <f>IF(MONTH(Calls[[#This Row],[Date of Call]])&lt;=3,YEAR(Calls[[#This Row],[Date of Call]]),YEAR(Calls[[#This Row],[Date of Call]])+1)</f>
        <v>2026</v>
      </c>
      <c r="K854" t="str">
        <f>TEXT(Calls[[#This Row],[Date of Call]],"dddd")</f>
        <v>Friday</v>
      </c>
      <c r="L854" t="str">
        <f>TEXT(Calls[[#This Row],[Date of Call]],"mmm")</f>
        <v>Jun</v>
      </c>
    </row>
    <row r="855" spans="1:12" x14ac:dyDescent="0.3">
      <c r="A855" t="s">
        <v>859</v>
      </c>
      <c r="B855" t="s">
        <v>1011</v>
      </c>
      <c r="C855">
        <v>87</v>
      </c>
      <c r="D855" t="s">
        <v>1031</v>
      </c>
      <c r="E855" t="s">
        <v>1203</v>
      </c>
      <c r="F855">
        <v>87</v>
      </c>
      <c r="G855">
        <v>4</v>
      </c>
      <c r="H855">
        <f>ROUND(Calls[[#This Row],[Satisfactory Rating]],0)</f>
        <v>4</v>
      </c>
      <c r="I855" t="str" cm="1">
        <f t="array" ref="I855">_xlfn.IFS(Calls[[#This Row],[Duration (Min)]]&lt;=30,"Under 30 mins",Calls[[#This Row],[Duration (Min)]]&lt;=60,"Under 1h",Calls[[#This Row],[Duration (Min)]]&lt;=120,"Under 2",TRUE,"More than 2h")</f>
        <v>Under 2</v>
      </c>
      <c r="J855">
        <f>IF(MONTH(Calls[[#This Row],[Date of Call]])&lt;=3,YEAR(Calls[[#This Row],[Date of Call]]),YEAR(Calls[[#This Row],[Date of Call]])+1)</f>
        <v>2026</v>
      </c>
      <c r="K855" t="str">
        <f>TEXT(Calls[[#This Row],[Date of Call]],"dddd")</f>
        <v>Friday</v>
      </c>
      <c r="L855" t="str">
        <f>TEXT(Calls[[#This Row],[Date of Call]],"mmm")</f>
        <v>Jun</v>
      </c>
    </row>
    <row r="856" spans="1:12" x14ac:dyDescent="0.3">
      <c r="A856" t="s">
        <v>860</v>
      </c>
      <c r="B856" t="s">
        <v>1017</v>
      </c>
      <c r="C856">
        <v>42</v>
      </c>
      <c r="D856" t="s">
        <v>1032</v>
      </c>
      <c r="E856" t="s">
        <v>1203</v>
      </c>
      <c r="F856">
        <v>63</v>
      </c>
      <c r="G856">
        <v>3.1</v>
      </c>
      <c r="H856">
        <f>ROUND(Calls[[#This Row],[Satisfactory Rating]],0)</f>
        <v>3</v>
      </c>
      <c r="I856" t="str" cm="1">
        <f t="array" ref="I856">_xlfn.IFS(Calls[[#This Row],[Duration (Min)]]&lt;=30,"Under 30 mins",Calls[[#This Row],[Duration (Min)]]&lt;=60,"Under 1h",Calls[[#This Row],[Duration (Min)]]&lt;=120,"Under 2",TRUE,"More than 2h")</f>
        <v>Under 1h</v>
      </c>
      <c r="J856">
        <f>IF(MONTH(Calls[[#This Row],[Date of Call]])&lt;=3,YEAR(Calls[[#This Row],[Date of Call]]),YEAR(Calls[[#This Row],[Date of Call]])+1)</f>
        <v>2026</v>
      </c>
      <c r="K856" t="str">
        <f>TEXT(Calls[[#This Row],[Date of Call]],"dddd")</f>
        <v>Friday</v>
      </c>
      <c r="L856" t="str">
        <f>TEXT(Calls[[#This Row],[Date of Call]],"mmm")</f>
        <v>Jun</v>
      </c>
    </row>
    <row r="857" spans="1:12" x14ac:dyDescent="0.3">
      <c r="A857" t="s">
        <v>861</v>
      </c>
      <c r="B857" t="s">
        <v>1025</v>
      </c>
      <c r="C857">
        <v>64</v>
      </c>
      <c r="D857" t="s">
        <v>1029</v>
      </c>
      <c r="E857" t="s">
        <v>1204</v>
      </c>
      <c r="F857">
        <v>50</v>
      </c>
      <c r="G857">
        <v>4.9000000000000004</v>
      </c>
      <c r="H857">
        <f>ROUND(Calls[[#This Row],[Satisfactory Rating]],0)</f>
        <v>5</v>
      </c>
      <c r="I857" t="str" cm="1">
        <f t="array" ref="I857">_xlfn.IFS(Calls[[#This Row],[Duration (Min)]]&lt;=30,"Under 30 mins",Calls[[#This Row],[Duration (Min)]]&lt;=60,"Under 1h",Calls[[#This Row],[Duration (Min)]]&lt;=120,"Under 2",TRUE,"More than 2h")</f>
        <v>Under 2</v>
      </c>
      <c r="J857">
        <f>IF(MONTH(Calls[[#This Row],[Date of Call]])&lt;=3,YEAR(Calls[[#This Row],[Date of Call]]),YEAR(Calls[[#This Row],[Date of Call]])+1)</f>
        <v>2026</v>
      </c>
      <c r="K857" t="str">
        <f>TEXT(Calls[[#This Row],[Date of Call]],"dddd")</f>
        <v>Saturday</v>
      </c>
      <c r="L857" t="str">
        <f>TEXT(Calls[[#This Row],[Date of Call]],"mmm")</f>
        <v>Jun</v>
      </c>
    </row>
    <row r="858" spans="1:12" x14ac:dyDescent="0.3">
      <c r="A858" t="s">
        <v>862</v>
      </c>
      <c r="B858" t="s">
        <v>1019</v>
      </c>
      <c r="C858">
        <v>25</v>
      </c>
      <c r="D858" t="s">
        <v>1030</v>
      </c>
      <c r="E858" t="s">
        <v>1204</v>
      </c>
      <c r="F858">
        <v>38</v>
      </c>
      <c r="G858">
        <v>3.7</v>
      </c>
      <c r="H858">
        <f>ROUND(Calls[[#This Row],[Satisfactory Rating]],0)</f>
        <v>4</v>
      </c>
      <c r="I858" t="str" cm="1">
        <f t="array" ref="I858">_xlfn.IFS(Calls[[#This Row],[Duration (Min)]]&lt;=30,"Under 30 mins",Calls[[#This Row],[Duration (Min)]]&lt;=60,"Under 1h",Calls[[#This Row],[Duration (Min)]]&lt;=120,"Under 2",TRUE,"More than 2h")</f>
        <v>Under 30 mins</v>
      </c>
      <c r="J858">
        <f>IF(MONTH(Calls[[#This Row],[Date of Call]])&lt;=3,YEAR(Calls[[#This Row],[Date of Call]]),YEAR(Calls[[#This Row],[Date of Call]])+1)</f>
        <v>2026</v>
      </c>
      <c r="K858" t="str">
        <f>TEXT(Calls[[#This Row],[Date of Call]],"dddd")</f>
        <v>Saturday</v>
      </c>
      <c r="L858" t="str">
        <f>TEXT(Calls[[#This Row],[Date of Call]],"mmm")</f>
        <v>Jun</v>
      </c>
    </row>
    <row r="859" spans="1:12" x14ac:dyDescent="0.3">
      <c r="A859" t="s">
        <v>863</v>
      </c>
      <c r="B859" t="s">
        <v>1014</v>
      </c>
      <c r="C859">
        <v>150</v>
      </c>
      <c r="D859" t="s">
        <v>1030</v>
      </c>
      <c r="E859" t="s">
        <v>1204</v>
      </c>
      <c r="F859">
        <v>96</v>
      </c>
      <c r="G859">
        <v>1.4</v>
      </c>
      <c r="H859">
        <f>ROUND(Calls[[#This Row],[Satisfactory Rating]],0)</f>
        <v>1</v>
      </c>
      <c r="I859" t="str" cm="1">
        <f t="array" ref="I859">_xlfn.IFS(Calls[[#This Row],[Duration (Min)]]&lt;=30,"Under 30 mins",Calls[[#This Row],[Duration (Min)]]&lt;=60,"Under 1h",Calls[[#This Row],[Duration (Min)]]&lt;=120,"Under 2",TRUE,"More than 2h")</f>
        <v>More than 2h</v>
      </c>
      <c r="J859">
        <f>IF(MONTH(Calls[[#This Row],[Date of Call]])&lt;=3,YEAR(Calls[[#This Row],[Date of Call]]),YEAR(Calls[[#This Row],[Date of Call]])+1)</f>
        <v>2026</v>
      </c>
      <c r="K859" t="str">
        <f>TEXT(Calls[[#This Row],[Date of Call]],"dddd")</f>
        <v>Saturday</v>
      </c>
      <c r="L859" t="str">
        <f>TEXT(Calls[[#This Row],[Date of Call]],"mmm")</f>
        <v>Jun</v>
      </c>
    </row>
    <row r="860" spans="1:12" x14ac:dyDescent="0.3">
      <c r="A860" t="s">
        <v>864</v>
      </c>
      <c r="B860" t="s">
        <v>1012</v>
      </c>
      <c r="C860">
        <v>137</v>
      </c>
      <c r="D860" t="s">
        <v>1030</v>
      </c>
      <c r="E860" t="s">
        <v>1204</v>
      </c>
      <c r="F860">
        <v>22</v>
      </c>
      <c r="G860">
        <v>4.9000000000000004</v>
      </c>
      <c r="H860">
        <f>ROUND(Calls[[#This Row],[Satisfactory Rating]],0)</f>
        <v>5</v>
      </c>
      <c r="I860" t="str" cm="1">
        <f t="array" ref="I860">_xlfn.IFS(Calls[[#This Row],[Duration (Min)]]&lt;=30,"Under 30 mins",Calls[[#This Row],[Duration (Min)]]&lt;=60,"Under 1h",Calls[[#This Row],[Duration (Min)]]&lt;=120,"Under 2",TRUE,"More than 2h")</f>
        <v>More than 2h</v>
      </c>
      <c r="J860">
        <f>IF(MONTH(Calls[[#This Row],[Date of Call]])&lt;=3,YEAR(Calls[[#This Row],[Date of Call]]),YEAR(Calls[[#This Row],[Date of Call]])+1)</f>
        <v>2026</v>
      </c>
      <c r="K860" t="str">
        <f>TEXT(Calls[[#This Row],[Date of Call]],"dddd")</f>
        <v>Saturday</v>
      </c>
      <c r="L860" t="str">
        <f>TEXT(Calls[[#This Row],[Date of Call]],"mmm")</f>
        <v>Jun</v>
      </c>
    </row>
    <row r="861" spans="1:12" x14ac:dyDescent="0.3">
      <c r="A861" t="s">
        <v>865</v>
      </c>
      <c r="B861" t="s">
        <v>1017</v>
      </c>
      <c r="C861">
        <v>147</v>
      </c>
      <c r="D861" t="s">
        <v>1032</v>
      </c>
      <c r="E861" t="s">
        <v>1204</v>
      </c>
      <c r="F861">
        <v>88</v>
      </c>
      <c r="G861">
        <v>4.4000000000000004</v>
      </c>
      <c r="H861">
        <f>ROUND(Calls[[#This Row],[Satisfactory Rating]],0)</f>
        <v>4</v>
      </c>
      <c r="I861" t="str" cm="1">
        <f t="array" ref="I861">_xlfn.IFS(Calls[[#This Row],[Duration (Min)]]&lt;=30,"Under 30 mins",Calls[[#This Row],[Duration (Min)]]&lt;=60,"Under 1h",Calls[[#This Row],[Duration (Min)]]&lt;=120,"Under 2",TRUE,"More than 2h")</f>
        <v>More than 2h</v>
      </c>
      <c r="J861">
        <f>IF(MONTH(Calls[[#This Row],[Date of Call]])&lt;=3,YEAR(Calls[[#This Row],[Date of Call]]),YEAR(Calls[[#This Row],[Date of Call]])+1)</f>
        <v>2026</v>
      </c>
      <c r="K861" t="str">
        <f>TEXT(Calls[[#This Row],[Date of Call]],"dddd")</f>
        <v>Saturday</v>
      </c>
      <c r="L861" t="str">
        <f>TEXT(Calls[[#This Row],[Date of Call]],"mmm")</f>
        <v>Jun</v>
      </c>
    </row>
    <row r="862" spans="1:12" x14ac:dyDescent="0.3">
      <c r="A862" t="s">
        <v>866</v>
      </c>
      <c r="B862" t="s">
        <v>1025</v>
      </c>
      <c r="C862">
        <v>78</v>
      </c>
      <c r="D862" t="s">
        <v>1030</v>
      </c>
      <c r="E862" t="s">
        <v>1205</v>
      </c>
      <c r="F862">
        <v>120</v>
      </c>
      <c r="G862">
        <v>4.5999999999999996</v>
      </c>
      <c r="H862">
        <f>ROUND(Calls[[#This Row],[Satisfactory Rating]],0)</f>
        <v>5</v>
      </c>
      <c r="I862" t="str" cm="1">
        <f t="array" ref="I862">_xlfn.IFS(Calls[[#This Row],[Duration (Min)]]&lt;=30,"Under 30 mins",Calls[[#This Row],[Duration (Min)]]&lt;=60,"Under 1h",Calls[[#This Row],[Duration (Min)]]&lt;=120,"Under 2",TRUE,"More than 2h")</f>
        <v>Under 2</v>
      </c>
      <c r="J862">
        <f>IF(MONTH(Calls[[#This Row],[Date of Call]])&lt;=3,YEAR(Calls[[#This Row],[Date of Call]]),YEAR(Calls[[#This Row],[Date of Call]])+1)</f>
        <v>2026</v>
      </c>
      <c r="K862" t="str">
        <f>TEXT(Calls[[#This Row],[Date of Call]],"dddd")</f>
        <v>Sunday</v>
      </c>
      <c r="L862" t="str">
        <f>TEXT(Calls[[#This Row],[Date of Call]],"mmm")</f>
        <v>Jun</v>
      </c>
    </row>
    <row r="863" spans="1:12" x14ac:dyDescent="0.3">
      <c r="A863" t="s">
        <v>867</v>
      </c>
      <c r="B863" t="s">
        <v>1017</v>
      </c>
      <c r="C863">
        <v>52</v>
      </c>
      <c r="D863" t="s">
        <v>1027</v>
      </c>
      <c r="E863" t="s">
        <v>1205</v>
      </c>
      <c r="F863">
        <v>138</v>
      </c>
      <c r="G863">
        <v>1.4</v>
      </c>
      <c r="H863">
        <f>ROUND(Calls[[#This Row],[Satisfactory Rating]],0)</f>
        <v>1</v>
      </c>
      <c r="I863" t="str" cm="1">
        <f t="array" ref="I863">_xlfn.IFS(Calls[[#This Row],[Duration (Min)]]&lt;=30,"Under 30 mins",Calls[[#This Row],[Duration (Min)]]&lt;=60,"Under 1h",Calls[[#This Row],[Duration (Min)]]&lt;=120,"Under 2",TRUE,"More than 2h")</f>
        <v>Under 1h</v>
      </c>
      <c r="J863">
        <f>IF(MONTH(Calls[[#This Row],[Date of Call]])&lt;=3,YEAR(Calls[[#This Row],[Date of Call]]),YEAR(Calls[[#This Row],[Date of Call]])+1)</f>
        <v>2026</v>
      </c>
      <c r="K863" t="str">
        <f>TEXT(Calls[[#This Row],[Date of Call]],"dddd")</f>
        <v>Sunday</v>
      </c>
      <c r="L863" t="str">
        <f>TEXT(Calls[[#This Row],[Date of Call]],"mmm")</f>
        <v>Jun</v>
      </c>
    </row>
    <row r="864" spans="1:12" x14ac:dyDescent="0.3">
      <c r="A864" t="s">
        <v>868</v>
      </c>
      <c r="B864" t="s">
        <v>1007</v>
      </c>
      <c r="C864">
        <v>154</v>
      </c>
      <c r="D864" t="s">
        <v>1032</v>
      </c>
      <c r="E864" t="s">
        <v>1205</v>
      </c>
      <c r="F864">
        <v>43</v>
      </c>
      <c r="G864">
        <v>3.3</v>
      </c>
      <c r="H864">
        <f>ROUND(Calls[[#This Row],[Satisfactory Rating]],0)</f>
        <v>3</v>
      </c>
      <c r="I864" t="str" cm="1">
        <f t="array" ref="I864">_xlfn.IFS(Calls[[#This Row],[Duration (Min)]]&lt;=30,"Under 30 mins",Calls[[#This Row],[Duration (Min)]]&lt;=60,"Under 1h",Calls[[#This Row],[Duration (Min)]]&lt;=120,"Under 2",TRUE,"More than 2h")</f>
        <v>More than 2h</v>
      </c>
      <c r="J864">
        <f>IF(MONTH(Calls[[#This Row],[Date of Call]])&lt;=3,YEAR(Calls[[#This Row],[Date of Call]]),YEAR(Calls[[#This Row],[Date of Call]])+1)</f>
        <v>2026</v>
      </c>
      <c r="K864" t="str">
        <f>TEXT(Calls[[#This Row],[Date of Call]],"dddd")</f>
        <v>Sunday</v>
      </c>
      <c r="L864" t="str">
        <f>TEXT(Calls[[#This Row],[Date of Call]],"mmm")</f>
        <v>Jun</v>
      </c>
    </row>
    <row r="865" spans="1:12" x14ac:dyDescent="0.3">
      <c r="A865" t="s">
        <v>869</v>
      </c>
      <c r="B865" t="s">
        <v>1011</v>
      </c>
      <c r="C865">
        <v>88</v>
      </c>
      <c r="D865" t="s">
        <v>1029</v>
      </c>
      <c r="E865" t="s">
        <v>1205</v>
      </c>
      <c r="F865">
        <v>143</v>
      </c>
      <c r="G865">
        <v>3.4</v>
      </c>
      <c r="H865">
        <f>ROUND(Calls[[#This Row],[Satisfactory Rating]],0)</f>
        <v>3</v>
      </c>
      <c r="I865" t="str" cm="1">
        <f t="array" ref="I865">_xlfn.IFS(Calls[[#This Row],[Duration (Min)]]&lt;=30,"Under 30 mins",Calls[[#This Row],[Duration (Min)]]&lt;=60,"Under 1h",Calls[[#This Row],[Duration (Min)]]&lt;=120,"Under 2",TRUE,"More than 2h")</f>
        <v>Under 2</v>
      </c>
      <c r="J865">
        <f>IF(MONTH(Calls[[#This Row],[Date of Call]])&lt;=3,YEAR(Calls[[#This Row],[Date of Call]]),YEAR(Calls[[#This Row],[Date of Call]])+1)</f>
        <v>2026</v>
      </c>
      <c r="K865" t="str">
        <f>TEXT(Calls[[#This Row],[Date of Call]],"dddd")</f>
        <v>Sunday</v>
      </c>
      <c r="L865" t="str">
        <f>TEXT(Calls[[#This Row],[Date of Call]],"mmm")</f>
        <v>Jun</v>
      </c>
    </row>
    <row r="866" spans="1:12" x14ac:dyDescent="0.3">
      <c r="A866" t="s">
        <v>870</v>
      </c>
      <c r="B866" t="s">
        <v>1012</v>
      </c>
      <c r="C866">
        <v>128</v>
      </c>
      <c r="D866" t="s">
        <v>1028</v>
      </c>
      <c r="E866" t="s">
        <v>1205</v>
      </c>
      <c r="F866">
        <v>38</v>
      </c>
      <c r="G866">
        <v>2.4</v>
      </c>
      <c r="H866">
        <f>ROUND(Calls[[#This Row],[Satisfactory Rating]],0)</f>
        <v>2</v>
      </c>
      <c r="I866" t="str" cm="1">
        <f t="array" ref="I866">_xlfn.IFS(Calls[[#This Row],[Duration (Min)]]&lt;=30,"Under 30 mins",Calls[[#This Row],[Duration (Min)]]&lt;=60,"Under 1h",Calls[[#This Row],[Duration (Min)]]&lt;=120,"Under 2",TRUE,"More than 2h")</f>
        <v>More than 2h</v>
      </c>
      <c r="J866">
        <f>IF(MONTH(Calls[[#This Row],[Date of Call]])&lt;=3,YEAR(Calls[[#This Row],[Date of Call]]),YEAR(Calls[[#This Row],[Date of Call]])+1)</f>
        <v>2026</v>
      </c>
      <c r="K866" t="str">
        <f>TEXT(Calls[[#This Row],[Date of Call]],"dddd")</f>
        <v>Sunday</v>
      </c>
      <c r="L866" t="str">
        <f>TEXT(Calls[[#This Row],[Date of Call]],"mmm")</f>
        <v>Jun</v>
      </c>
    </row>
    <row r="867" spans="1:12" x14ac:dyDescent="0.3">
      <c r="A867" t="s">
        <v>871</v>
      </c>
      <c r="B867" t="s">
        <v>1007</v>
      </c>
      <c r="C867">
        <v>121</v>
      </c>
      <c r="D867" t="s">
        <v>1032</v>
      </c>
      <c r="E867" t="s">
        <v>1206</v>
      </c>
      <c r="F867">
        <v>131</v>
      </c>
      <c r="G867">
        <v>2.8</v>
      </c>
      <c r="H867">
        <f>ROUND(Calls[[#This Row],[Satisfactory Rating]],0)</f>
        <v>3</v>
      </c>
      <c r="I867" t="str" cm="1">
        <f t="array" ref="I867">_xlfn.IFS(Calls[[#This Row],[Duration (Min)]]&lt;=30,"Under 30 mins",Calls[[#This Row],[Duration (Min)]]&lt;=60,"Under 1h",Calls[[#This Row],[Duration (Min)]]&lt;=120,"Under 2",TRUE,"More than 2h")</f>
        <v>More than 2h</v>
      </c>
      <c r="J867">
        <f>IF(MONTH(Calls[[#This Row],[Date of Call]])&lt;=3,YEAR(Calls[[#This Row],[Date of Call]]),YEAR(Calls[[#This Row],[Date of Call]])+1)</f>
        <v>2026</v>
      </c>
      <c r="K867" t="str">
        <f>TEXT(Calls[[#This Row],[Date of Call]],"dddd")</f>
        <v>Monday</v>
      </c>
      <c r="L867" t="str">
        <f>TEXT(Calls[[#This Row],[Date of Call]],"mmm")</f>
        <v>Jun</v>
      </c>
    </row>
    <row r="868" spans="1:12" x14ac:dyDescent="0.3">
      <c r="A868" t="s">
        <v>872</v>
      </c>
      <c r="B868" t="s">
        <v>1008</v>
      </c>
      <c r="C868">
        <v>159</v>
      </c>
      <c r="D868" t="s">
        <v>1026</v>
      </c>
      <c r="E868" t="s">
        <v>1206</v>
      </c>
      <c r="F868">
        <v>31</v>
      </c>
      <c r="G868">
        <v>3.4</v>
      </c>
      <c r="H868">
        <f>ROUND(Calls[[#This Row],[Satisfactory Rating]],0)</f>
        <v>3</v>
      </c>
      <c r="I868" t="str" cm="1">
        <f t="array" ref="I868">_xlfn.IFS(Calls[[#This Row],[Duration (Min)]]&lt;=30,"Under 30 mins",Calls[[#This Row],[Duration (Min)]]&lt;=60,"Under 1h",Calls[[#This Row],[Duration (Min)]]&lt;=120,"Under 2",TRUE,"More than 2h")</f>
        <v>More than 2h</v>
      </c>
      <c r="J868">
        <f>IF(MONTH(Calls[[#This Row],[Date of Call]])&lt;=3,YEAR(Calls[[#This Row],[Date of Call]]),YEAR(Calls[[#This Row],[Date of Call]])+1)</f>
        <v>2026</v>
      </c>
      <c r="K868" t="str">
        <f>TEXT(Calls[[#This Row],[Date of Call]],"dddd")</f>
        <v>Monday</v>
      </c>
      <c r="L868" t="str">
        <f>TEXT(Calls[[#This Row],[Date of Call]],"mmm")</f>
        <v>Jun</v>
      </c>
    </row>
    <row r="869" spans="1:12" x14ac:dyDescent="0.3">
      <c r="A869" t="s">
        <v>873</v>
      </c>
      <c r="B869" t="s">
        <v>1021</v>
      </c>
      <c r="C869">
        <v>139</v>
      </c>
      <c r="D869" t="s">
        <v>1031</v>
      </c>
      <c r="E869" t="s">
        <v>1206</v>
      </c>
      <c r="F869">
        <v>117</v>
      </c>
      <c r="G869">
        <v>2.6</v>
      </c>
      <c r="H869">
        <f>ROUND(Calls[[#This Row],[Satisfactory Rating]],0)</f>
        <v>3</v>
      </c>
      <c r="I869" t="str" cm="1">
        <f t="array" ref="I869">_xlfn.IFS(Calls[[#This Row],[Duration (Min)]]&lt;=30,"Under 30 mins",Calls[[#This Row],[Duration (Min)]]&lt;=60,"Under 1h",Calls[[#This Row],[Duration (Min)]]&lt;=120,"Under 2",TRUE,"More than 2h")</f>
        <v>More than 2h</v>
      </c>
      <c r="J869">
        <f>IF(MONTH(Calls[[#This Row],[Date of Call]])&lt;=3,YEAR(Calls[[#This Row],[Date of Call]]),YEAR(Calls[[#This Row],[Date of Call]])+1)</f>
        <v>2026</v>
      </c>
      <c r="K869" t="str">
        <f>TEXT(Calls[[#This Row],[Date of Call]],"dddd")</f>
        <v>Monday</v>
      </c>
      <c r="L869" t="str">
        <f>TEXT(Calls[[#This Row],[Date of Call]],"mmm")</f>
        <v>Jun</v>
      </c>
    </row>
    <row r="870" spans="1:12" x14ac:dyDescent="0.3">
      <c r="A870" t="s">
        <v>874</v>
      </c>
      <c r="B870" t="s">
        <v>1010</v>
      </c>
      <c r="C870">
        <v>155</v>
      </c>
      <c r="D870" t="s">
        <v>1031</v>
      </c>
      <c r="E870" t="s">
        <v>1206</v>
      </c>
      <c r="F870">
        <v>116</v>
      </c>
      <c r="G870">
        <v>1.5</v>
      </c>
      <c r="H870">
        <f>ROUND(Calls[[#This Row],[Satisfactory Rating]],0)</f>
        <v>2</v>
      </c>
      <c r="I870" t="str" cm="1">
        <f t="array" ref="I870">_xlfn.IFS(Calls[[#This Row],[Duration (Min)]]&lt;=30,"Under 30 mins",Calls[[#This Row],[Duration (Min)]]&lt;=60,"Under 1h",Calls[[#This Row],[Duration (Min)]]&lt;=120,"Under 2",TRUE,"More than 2h")</f>
        <v>More than 2h</v>
      </c>
      <c r="J870">
        <f>IF(MONTH(Calls[[#This Row],[Date of Call]])&lt;=3,YEAR(Calls[[#This Row],[Date of Call]]),YEAR(Calls[[#This Row],[Date of Call]])+1)</f>
        <v>2026</v>
      </c>
      <c r="K870" t="str">
        <f>TEXT(Calls[[#This Row],[Date of Call]],"dddd")</f>
        <v>Monday</v>
      </c>
      <c r="L870" t="str">
        <f>TEXT(Calls[[#This Row],[Date of Call]],"mmm")</f>
        <v>Jun</v>
      </c>
    </row>
    <row r="871" spans="1:12" x14ac:dyDescent="0.3">
      <c r="A871" t="s">
        <v>875</v>
      </c>
      <c r="B871" t="s">
        <v>1021</v>
      </c>
      <c r="C871">
        <v>61</v>
      </c>
      <c r="D871" t="s">
        <v>1031</v>
      </c>
      <c r="E871" t="s">
        <v>1206</v>
      </c>
      <c r="F871">
        <v>69</v>
      </c>
      <c r="G871">
        <v>3.7</v>
      </c>
      <c r="H871">
        <f>ROUND(Calls[[#This Row],[Satisfactory Rating]],0)</f>
        <v>4</v>
      </c>
      <c r="I871" t="str" cm="1">
        <f t="array" ref="I871">_xlfn.IFS(Calls[[#This Row],[Duration (Min)]]&lt;=30,"Under 30 mins",Calls[[#This Row],[Duration (Min)]]&lt;=60,"Under 1h",Calls[[#This Row],[Duration (Min)]]&lt;=120,"Under 2",TRUE,"More than 2h")</f>
        <v>Under 2</v>
      </c>
      <c r="J871">
        <f>IF(MONTH(Calls[[#This Row],[Date of Call]])&lt;=3,YEAR(Calls[[#This Row],[Date of Call]]),YEAR(Calls[[#This Row],[Date of Call]])+1)</f>
        <v>2026</v>
      </c>
      <c r="K871" t="str">
        <f>TEXT(Calls[[#This Row],[Date of Call]],"dddd")</f>
        <v>Monday</v>
      </c>
      <c r="L871" t="str">
        <f>TEXT(Calls[[#This Row],[Date of Call]],"mmm")</f>
        <v>Jun</v>
      </c>
    </row>
    <row r="872" spans="1:12" x14ac:dyDescent="0.3">
      <c r="A872" t="s">
        <v>876</v>
      </c>
      <c r="B872" t="s">
        <v>1019</v>
      </c>
      <c r="C872">
        <v>82</v>
      </c>
      <c r="D872" t="s">
        <v>1028</v>
      </c>
      <c r="E872" t="s">
        <v>1207</v>
      </c>
      <c r="F872">
        <v>44</v>
      </c>
      <c r="G872">
        <v>3</v>
      </c>
      <c r="H872">
        <f>ROUND(Calls[[#This Row],[Satisfactory Rating]],0)</f>
        <v>3</v>
      </c>
      <c r="I872" t="str" cm="1">
        <f t="array" ref="I872">_xlfn.IFS(Calls[[#This Row],[Duration (Min)]]&lt;=30,"Under 30 mins",Calls[[#This Row],[Duration (Min)]]&lt;=60,"Under 1h",Calls[[#This Row],[Duration (Min)]]&lt;=120,"Under 2",TRUE,"More than 2h")</f>
        <v>Under 2</v>
      </c>
      <c r="J872">
        <f>IF(MONTH(Calls[[#This Row],[Date of Call]])&lt;=3,YEAR(Calls[[#This Row],[Date of Call]]),YEAR(Calls[[#This Row],[Date of Call]])+1)</f>
        <v>2026</v>
      </c>
      <c r="K872" t="str">
        <f>TEXT(Calls[[#This Row],[Date of Call]],"dddd")</f>
        <v>Tuesday</v>
      </c>
      <c r="L872" t="str">
        <f>TEXT(Calls[[#This Row],[Date of Call]],"mmm")</f>
        <v>Jun</v>
      </c>
    </row>
    <row r="873" spans="1:12" x14ac:dyDescent="0.3">
      <c r="A873" t="s">
        <v>877</v>
      </c>
      <c r="B873" t="s">
        <v>1020</v>
      </c>
      <c r="C873">
        <v>69</v>
      </c>
      <c r="D873" t="s">
        <v>1030</v>
      </c>
      <c r="E873" t="s">
        <v>1207</v>
      </c>
      <c r="F873">
        <v>47</v>
      </c>
      <c r="G873">
        <v>1.2</v>
      </c>
      <c r="H873">
        <f>ROUND(Calls[[#This Row],[Satisfactory Rating]],0)</f>
        <v>1</v>
      </c>
      <c r="I873" t="str" cm="1">
        <f t="array" ref="I873">_xlfn.IFS(Calls[[#This Row],[Duration (Min)]]&lt;=30,"Under 30 mins",Calls[[#This Row],[Duration (Min)]]&lt;=60,"Under 1h",Calls[[#This Row],[Duration (Min)]]&lt;=120,"Under 2",TRUE,"More than 2h")</f>
        <v>Under 2</v>
      </c>
      <c r="J873">
        <f>IF(MONTH(Calls[[#This Row],[Date of Call]])&lt;=3,YEAR(Calls[[#This Row],[Date of Call]]),YEAR(Calls[[#This Row],[Date of Call]])+1)</f>
        <v>2026</v>
      </c>
      <c r="K873" t="str">
        <f>TEXT(Calls[[#This Row],[Date of Call]],"dddd")</f>
        <v>Tuesday</v>
      </c>
      <c r="L873" t="str">
        <f>TEXT(Calls[[#This Row],[Date of Call]],"mmm")</f>
        <v>Jun</v>
      </c>
    </row>
    <row r="874" spans="1:12" x14ac:dyDescent="0.3">
      <c r="A874" t="s">
        <v>878</v>
      </c>
      <c r="B874" t="s">
        <v>1010</v>
      </c>
      <c r="C874">
        <v>128</v>
      </c>
      <c r="D874" t="s">
        <v>1027</v>
      </c>
      <c r="E874" t="s">
        <v>1207</v>
      </c>
      <c r="F874">
        <v>96</v>
      </c>
      <c r="G874">
        <v>4.7</v>
      </c>
      <c r="H874">
        <f>ROUND(Calls[[#This Row],[Satisfactory Rating]],0)</f>
        <v>5</v>
      </c>
      <c r="I874" t="str" cm="1">
        <f t="array" ref="I874">_xlfn.IFS(Calls[[#This Row],[Duration (Min)]]&lt;=30,"Under 30 mins",Calls[[#This Row],[Duration (Min)]]&lt;=60,"Under 1h",Calls[[#This Row],[Duration (Min)]]&lt;=120,"Under 2",TRUE,"More than 2h")</f>
        <v>More than 2h</v>
      </c>
      <c r="J874">
        <f>IF(MONTH(Calls[[#This Row],[Date of Call]])&lt;=3,YEAR(Calls[[#This Row],[Date of Call]]),YEAR(Calls[[#This Row],[Date of Call]])+1)</f>
        <v>2026</v>
      </c>
      <c r="K874" t="str">
        <f>TEXT(Calls[[#This Row],[Date of Call]],"dddd")</f>
        <v>Tuesday</v>
      </c>
      <c r="L874" t="str">
        <f>TEXT(Calls[[#This Row],[Date of Call]],"mmm")</f>
        <v>Jun</v>
      </c>
    </row>
    <row r="875" spans="1:12" x14ac:dyDescent="0.3">
      <c r="A875" t="s">
        <v>879</v>
      </c>
      <c r="B875" t="s">
        <v>1025</v>
      </c>
      <c r="C875">
        <v>138</v>
      </c>
      <c r="D875" t="s">
        <v>1028</v>
      </c>
      <c r="E875" t="s">
        <v>1207</v>
      </c>
      <c r="F875">
        <v>101</v>
      </c>
      <c r="G875">
        <v>1.8</v>
      </c>
      <c r="H875">
        <f>ROUND(Calls[[#This Row],[Satisfactory Rating]],0)</f>
        <v>2</v>
      </c>
      <c r="I875" t="str" cm="1">
        <f t="array" ref="I875">_xlfn.IFS(Calls[[#This Row],[Duration (Min)]]&lt;=30,"Under 30 mins",Calls[[#This Row],[Duration (Min)]]&lt;=60,"Under 1h",Calls[[#This Row],[Duration (Min)]]&lt;=120,"Under 2",TRUE,"More than 2h")</f>
        <v>More than 2h</v>
      </c>
      <c r="J875">
        <f>IF(MONTH(Calls[[#This Row],[Date of Call]])&lt;=3,YEAR(Calls[[#This Row],[Date of Call]]),YEAR(Calls[[#This Row],[Date of Call]])+1)</f>
        <v>2026</v>
      </c>
      <c r="K875" t="str">
        <f>TEXT(Calls[[#This Row],[Date of Call]],"dddd")</f>
        <v>Tuesday</v>
      </c>
      <c r="L875" t="str">
        <f>TEXT(Calls[[#This Row],[Date of Call]],"mmm")</f>
        <v>Jun</v>
      </c>
    </row>
    <row r="876" spans="1:12" x14ac:dyDescent="0.3">
      <c r="A876" t="s">
        <v>880</v>
      </c>
      <c r="B876" t="s">
        <v>1023</v>
      </c>
      <c r="C876">
        <v>56</v>
      </c>
      <c r="D876" t="s">
        <v>1028</v>
      </c>
      <c r="E876" t="s">
        <v>1207</v>
      </c>
      <c r="F876">
        <v>28</v>
      </c>
      <c r="G876">
        <v>2.2999999999999998</v>
      </c>
      <c r="H876">
        <f>ROUND(Calls[[#This Row],[Satisfactory Rating]],0)</f>
        <v>2</v>
      </c>
      <c r="I876" t="str" cm="1">
        <f t="array" ref="I876">_xlfn.IFS(Calls[[#This Row],[Duration (Min)]]&lt;=30,"Under 30 mins",Calls[[#This Row],[Duration (Min)]]&lt;=60,"Under 1h",Calls[[#This Row],[Duration (Min)]]&lt;=120,"Under 2",TRUE,"More than 2h")</f>
        <v>Under 1h</v>
      </c>
      <c r="J876">
        <f>IF(MONTH(Calls[[#This Row],[Date of Call]])&lt;=3,YEAR(Calls[[#This Row],[Date of Call]]),YEAR(Calls[[#This Row],[Date of Call]])+1)</f>
        <v>2026</v>
      </c>
      <c r="K876" t="str">
        <f>TEXT(Calls[[#This Row],[Date of Call]],"dddd")</f>
        <v>Tuesday</v>
      </c>
      <c r="L876" t="str">
        <f>TEXT(Calls[[#This Row],[Date of Call]],"mmm")</f>
        <v>Jun</v>
      </c>
    </row>
    <row r="877" spans="1:12" x14ac:dyDescent="0.3">
      <c r="A877" t="s">
        <v>881</v>
      </c>
      <c r="B877" t="s">
        <v>1012</v>
      </c>
      <c r="C877">
        <v>152</v>
      </c>
      <c r="D877" t="s">
        <v>1031</v>
      </c>
      <c r="E877" t="s">
        <v>1208</v>
      </c>
      <c r="F877">
        <v>121</v>
      </c>
      <c r="G877">
        <v>2.7</v>
      </c>
      <c r="H877">
        <f>ROUND(Calls[[#This Row],[Satisfactory Rating]],0)</f>
        <v>3</v>
      </c>
      <c r="I877" t="str" cm="1">
        <f t="array" ref="I877">_xlfn.IFS(Calls[[#This Row],[Duration (Min)]]&lt;=30,"Under 30 mins",Calls[[#This Row],[Duration (Min)]]&lt;=60,"Under 1h",Calls[[#This Row],[Duration (Min)]]&lt;=120,"Under 2",TRUE,"More than 2h")</f>
        <v>More than 2h</v>
      </c>
      <c r="J877">
        <f>IF(MONTH(Calls[[#This Row],[Date of Call]])&lt;=3,YEAR(Calls[[#This Row],[Date of Call]]),YEAR(Calls[[#This Row],[Date of Call]])+1)</f>
        <v>2026</v>
      </c>
      <c r="K877" t="str">
        <f>TEXT(Calls[[#This Row],[Date of Call]],"dddd")</f>
        <v>Wednesday</v>
      </c>
      <c r="L877" t="str">
        <f>TEXT(Calls[[#This Row],[Date of Call]],"mmm")</f>
        <v>Jun</v>
      </c>
    </row>
    <row r="878" spans="1:12" x14ac:dyDescent="0.3">
      <c r="A878" t="s">
        <v>882</v>
      </c>
      <c r="B878" t="s">
        <v>1009</v>
      </c>
      <c r="C878">
        <v>67</v>
      </c>
      <c r="D878" t="s">
        <v>1029</v>
      </c>
      <c r="E878" t="s">
        <v>1208</v>
      </c>
      <c r="F878">
        <v>103</v>
      </c>
      <c r="G878">
        <v>4.3</v>
      </c>
      <c r="H878">
        <f>ROUND(Calls[[#This Row],[Satisfactory Rating]],0)</f>
        <v>4</v>
      </c>
      <c r="I878" t="str" cm="1">
        <f t="array" ref="I878">_xlfn.IFS(Calls[[#This Row],[Duration (Min)]]&lt;=30,"Under 30 mins",Calls[[#This Row],[Duration (Min)]]&lt;=60,"Under 1h",Calls[[#This Row],[Duration (Min)]]&lt;=120,"Under 2",TRUE,"More than 2h")</f>
        <v>Under 2</v>
      </c>
      <c r="J878">
        <f>IF(MONTH(Calls[[#This Row],[Date of Call]])&lt;=3,YEAR(Calls[[#This Row],[Date of Call]]),YEAR(Calls[[#This Row],[Date of Call]])+1)</f>
        <v>2026</v>
      </c>
      <c r="K878" t="str">
        <f>TEXT(Calls[[#This Row],[Date of Call]],"dddd")</f>
        <v>Wednesday</v>
      </c>
      <c r="L878" t="str">
        <f>TEXT(Calls[[#This Row],[Date of Call]],"mmm")</f>
        <v>Jun</v>
      </c>
    </row>
    <row r="879" spans="1:12" x14ac:dyDescent="0.3">
      <c r="A879" t="s">
        <v>883</v>
      </c>
      <c r="B879" t="s">
        <v>1016</v>
      </c>
      <c r="C879">
        <v>75</v>
      </c>
      <c r="D879" t="s">
        <v>1028</v>
      </c>
      <c r="E879" t="s">
        <v>1208</v>
      </c>
      <c r="F879">
        <v>88</v>
      </c>
      <c r="G879">
        <v>3</v>
      </c>
      <c r="H879">
        <f>ROUND(Calls[[#This Row],[Satisfactory Rating]],0)</f>
        <v>3</v>
      </c>
      <c r="I879" t="str" cm="1">
        <f t="array" ref="I879">_xlfn.IFS(Calls[[#This Row],[Duration (Min)]]&lt;=30,"Under 30 mins",Calls[[#This Row],[Duration (Min)]]&lt;=60,"Under 1h",Calls[[#This Row],[Duration (Min)]]&lt;=120,"Under 2",TRUE,"More than 2h")</f>
        <v>Under 2</v>
      </c>
      <c r="J879">
        <f>IF(MONTH(Calls[[#This Row],[Date of Call]])&lt;=3,YEAR(Calls[[#This Row],[Date of Call]]),YEAR(Calls[[#This Row],[Date of Call]])+1)</f>
        <v>2026</v>
      </c>
      <c r="K879" t="str">
        <f>TEXT(Calls[[#This Row],[Date of Call]],"dddd")</f>
        <v>Wednesday</v>
      </c>
      <c r="L879" t="str">
        <f>TEXT(Calls[[#This Row],[Date of Call]],"mmm")</f>
        <v>Jun</v>
      </c>
    </row>
    <row r="880" spans="1:12" x14ac:dyDescent="0.3">
      <c r="A880" t="s">
        <v>884</v>
      </c>
      <c r="B880" t="s">
        <v>1017</v>
      </c>
      <c r="C880">
        <v>86</v>
      </c>
      <c r="D880" t="s">
        <v>1028</v>
      </c>
      <c r="E880" t="s">
        <v>1208</v>
      </c>
      <c r="F880">
        <v>60</v>
      </c>
      <c r="G880">
        <v>2.5</v>
      </c>
      <c r="H880">
        <f>ROUND(Calls[[#This Row],[Satisfactory Rating]],0)</f>
        <v>3</v>
      </c>
      <c r="I880" t="str" cm="1">
        <f t="array" ref="I880">_xlfn.IFS(Calls[[#This Row],[Duration (Min)]]&lt;=30,"Under 30 mins",Calls[[#This Row],[Duration (Min)]]&lt;=60,"Under 1h",Calls[[#This Row],[Duration (Min)]]&lt;=120,"Under 2",TRUE,"More than 2h")</f>
        <v>Under 2</v>
      </c>
      <c r="J880">
        <f>IF(MONTH(Calls[[#This Row],[Date of Call]])&lt;=3,YEAR(Calls[[#This Row],[Date of Call]]),YEAR(Calls[[#This Row],[Date of Call]])+1)</f>
        <v>2026</v>
      </c>
      <c r="K880" t="str">
        <f>TEXT(Calls[[#This Row],[Date of Call]],"dddd")</f>
        <v>Wednesday</v>
      </c>
      <c r="L880" t="str">
        <f>TEXT(Calls[[#This Row],[Date of Call]],"mmm")</f>
        <v>Jun</v>
      </c>
    </row>
    <row r="881" spans="1:12" x14ac:dyDescent="0.3">
      <c r="A881" t="s">
        <v>885</v>
      </c>
      <c r="B881" t="s">
        <v>1006</v>
      </c>
      <c r="C881">
        <v>60</v>
      </c>
      <c r="D881" t="s">
        <v>1028</v>
      </c>
      <c r="E881" t="s">
        <v>1208</v>
      </c>
      <c r="F881">
        <v>115</v>
      </c>
      <c r="G881">
        <v>2</v>
      </c>
      <c r="H881">
        <f>ROUND(Calls[[#This Row],[Satisfactory Rating]],0)</f>
        <v>2</v>
      </c>
      <c r="I881" t="str" cm="1">
        <f t="array" ref="I881">_xlfn.IFS(Calls[[#This Row],[Duration (Min)]]&lt;=30,"Under 30 mins",Calls[[#This Row],[Duration (Min)]]&lt;=60,"Under 1h",Calls[[#This Row],[Duration (Min)]]&lt;=120,"Under 2",TRUE,"More than 2h")</f>
        <v>Under 1h</v>
      </c>
      <c r="J881">
        <f>IF(MONTH(Calls[[#This Row],[Date of Call]])&lt;=3,YEAR(Calls[[#This Row],[Date of Call]]),YEAR(Calls[[#This Row],[Date of Call]])+1)</f>
        <v>2026</v>
      </c>
      <c r="K881" t="str">
        <f>TEXT(Calls[[#This Row],[Date of Call]],"dddd")</f>
        <v>Wednesday</v>
      </c>
      <c r="L881" t="str">
        <f>TEXT(Calls[[#This Row],[Date of Call]],"mmm")</f>
        <v>Jun</v>
      </c>
    </row>
    <row r="882" spans="1:12" x14ac:dyDescent="0.3">
      <c r="A882" t="s">
        <v>886</v>
      </c>
      <c r="B882" t="s">
        <v>1015</v>
      </c>
      <c r="C882">
        <v>122</v>
      </c>
      <c r="D882" t="s">
        <v>1029</v>
      </c>
      <c r="E882" t="s">
        <v>1209</v>
      </c>
      <c r="F882">
        <v>86</v>
      </c>
      <c r="G882">
        <v>3.2</v>
      </c>
      <c r="H882">
        <f>ROUND(Calls[[#This Row],[Satisfactory Rating]],0)</f>
        <v>3</v>
      </c>
      <c r="I882" t="str" cm="1">
        <f t="array" ref="I882">_xlfn.IFS(Calls[[#This Row],[Duration (Min)]]&lt;=30,"Under 30 mins",Calls[[#This Row],[Duration (Min)]]&lt;=60,"Under 1h",Calls[[#This Row],[Duration (Min)]]&lt;=120,"Under 2",TRUE,"More than 2h")</f>
        <v>More than 2h</v>
      </c>
      <c r="J882">
        <f>IF(MONTH(Calls[[#This Row],[Date of Call]])&lt;=3,YEAR(Calls[[#This Row],[Date of Call]]),YEAR(Calls[[#This Row],[Date of Call]])+1)</f>
        <v>2026</v>
      </c>
      <c r="K882" t="str">
        <f>TEXT(Calls[[#This Row],[Date of Call]],"dddd")</f>
        <v>Thursday</v>
      </c>
      <c r="L882" t="str">
        <f>TEXT(Calls[[#This Row],[Date of Call]],"mmm")</f>
        <v>Jun</v>
      </c>
    </row>
    <row r="883" spans="1:12" x14ac:dyDescent="0.3">
      <c r="A883" t="s">
        <v>887</v>
      </c>
      <c r="B883" t="s">
        <v>1010</v>
      </c>
      <c r="C883">
        <v>16</v>
      </c>
      <c r="D883" t="s">
        <v>1032</v>
      </c>
      <c r="E883" t="s">
        <v>1209</v>
      </c>
      <c r="F883">
        <v>133</v>
      </c>
      <c r="G883">
        <v>1.6</v>
      </c>
      <c r="H883">
        <f>ROUND(Calls[[#This Row],[Satisfactory Rating]],0)</f>
        <v>2</v>
      </c>
      <c r="I883" t="str" cm="1">
        <f t="array" ref="I883">_xlfn.IFS(Calls[[#This Row],[Duration (Min)]]&lt;=30,"Under 30 mins",Calls[[#This Row],[Duration (Min)]]&lt;=60,"Under 1h",Calls[[#This Row],[Duration (Min)]]&lt;=120,"Under 2",TRUE,"More than 2h")</f>
        <v>Under 30 mins</v>
      </c>
      <c r="J883">
        <f>IF(MONTH(Calls[[#This Row],[Date of Call]])&lt;=3,YEAR(Calls[[#This Row],[Date of Call]]),YEAR(Calls[[#This Row],[Date of Call]])+1)</f>
        <v>2026</v>
      </c>
      <c r="K883" t="str">
        <f>TEXT(Calls[[#This Row],[Date of Call]],"dddd")</f>
        <v>Thursday</v>
      </c>
      <c r="L883" t="str">
        <f>TEXT(Calls[[#This Row],[Date of Call]],"mmm")</f>
        <v>Jun</v>
      </c>
    </row>
    <row r="884" spans="1:12" x14ac:dyDescent="0.3">
      <c r="A884" t="s">
        <v>888</v>
      </c>
      <c r="B884" t="s">
        <v>1021</v>
      </c>
      <c r="C884">
        <v>92</v>
      </c>
      <c r="D884" t="s">
        <v>1027</v>
      </c>
      <c r="E884" t="s">
        <v>1209</v>
      </c>
      <c r="F884">
        <v>99</v>
      </c>
      <c r="G884">
        <v>4.9000000000000004</v>
      </c>
      <c r="H884">
        <f>ROUND(Calls[[#This Row],[Satisfactory Rating]],0)</f>
        <v>5</v>
      </c>
      <c r="I884" t="str" cm="1">
        <f t="array" ref="I884">_xlfn.IFS(Calls[[#This Row],[Duration (Min)]]&lt;=30,"Under 30 mins",Calls[[#This Row],[Duration (Min)]]&lt;=60,"Under 1h",Calls[[#This Row],[Duration (Min)]]&lt;=120,"Under 2",TRUE,"More than 2h")</f>
        <v>Under 2</v>
      </c>
      <c r="J884">
        <f>IF(MONTH(Calls[[#This Row],[Date of Call]])&lt;=3,YEAR(Calls[[#This Row],[Date of Call]]),YEAR(Calls[[#This Row],[Date of Call]])+1)</f>
        <v>2026</v>
      </c>
      <c r="K884" t="str">
        <f>TEXT(Calls[[#This Row],[Date of Call]],"dddd")</f>
        <v>Thursday</v>
      </c>
      <c r="L884" t="str">
        <f>TEXT(Calls[[#This Row],[Date of Call]],"mmm")</f>
        <v>Jun</v>
      </c>
    </row>
    <row r="885" spans="1:12" x14ac:dyDescent="0.3">
      <c r="A885" t="s">
        <v>889</v>
      </c>
      <c r="B885" t="s">
        <v>1018</v>
      </c>
      <c r="C885">
        <v>10</v>
      </c>
      <c r="D885" t="s">
        <v>1028</v>
      </c>
      <c r="E885" t="s">
        <v>1209</v>
      </c>
      <c r="F885">
        <v>133</v>
      </c>
      <c r="G885">
        <v>2.4</v>
      </c>
      <c r="H885">
        <f>ROUND(Calls[[#This Row],[Satisfactory Rating]],0)</f>
        <v>2</v>
      </c>
      <c r="I885" t="str" cm="1">
        <f t="array" ref="I885">_xlfn.IFS(Calls[[#This Row],[Duration (Min)]]&lt;=30,"Under 30 mins",Calls[[#This Row],[Duration (Min)]]&lt;=60,"Under 1h",Calls[[#This Row],[Duration (Min)]]&lt;=120,"Under 2",TRUE,"More than 2h")</f>
        <v>Under 30 mins</v>
      </c>
      <c r="J885">
        <f>IF(MONTH(Calls[[#This Row],[Date of Call]])&lt;=3,YEAR(Calls[[#This Row],[Date of Call]]),YEAR(Calls[[#This Row],[Date of Call]])+1)</f>
        <v>2026</v>
      </c>
      <c r="K885" t="str">
        <f>TEXT(Calls[[#This Row],[Date of Call]],"dddd")</f>
        <v>Thursday</v>
      </c>
      <c r="L885" t="str">
        <f>TEXT(Calls[[#This Row],[Date of Call]],"mmm")</f>
        <v>Jun</v>
      </c>
    </row>
    <row r="886" spans="1:12" x14ac:dyDescent="0.3">
      <c r="A886" t="s">
        <v>890</v>
      </c>
      <c r="B886" t="s">
        <v>1015</v>
      </c>
      <c r="C886">
        <v>122</v>
      </c>
      <c r="D886" t="s">
        <v>1032</v>
      </c>
      <c r="E886" t="s">
        <v>1209</v>
      </c>
      <c r="F886">
        <v>68</v>
      </c>
      <c r="G886">
        <v>4.2</v>
      </c>
      <c r="H886">
        <f>ROUND(Calls[[#This Row],[Satisfactory Rating]],0)</f>
        <v>4</v>
      </c>
      <c r="I886" t="str" cm="1">
        <f t="array" ref="I886">_xlfn.IFS(Calls[[#This Row],[Duration (Min)]]&lt;=30,"Under 30 mins",Calls[[#This Row],[Duration (Min)]]&lt;=60,"Under 1h",Calls[[#This Row],[Duration (Min)]]&lt;=120,"Under 2",TRUE,"More than 2h")</f>
        <v>More than 2h</v>
      </c>
      <c r="J886">
        <f>IF(MONTH(Calls[[#This Row],[Date of Call]])&lt;=3,YEAR(Calls[[#This Row],[Date of Call]]),YEAR(Calls[[#This Row],[Date of Call]])+1)</f>
        <v>2026</v>
      </c>
      <c r="K886" t="str">
        <f>TEXT(Calls[[#This Row],[Date of Call]],"dddd")</f>
        <v>Thursday</v>
      </c>
      <c r="L886" t="str">
        <f>TEXT(Calls[[#This Row],[Date of Call]],"mmm")</f>
        <v>Jun</v>
      </c>
    </row>
    <row r="887" spans="1:12" x14ac:dyDescent="0.3">
      <c r="A887" t="s">
        <v>891</v>
      </c>
      <c r="B887" t="s">
        <v>1009</v>
      </c>
      <c r="C887">
        <v>113</v>
      </c>
      <c r="D887" t="s">
        <v>1031</v>
      </c>
      <c r="E887" t="s">
        <v>1210</v>
      </c>
      <c r="F887">
        <v>96</v>
      </c>
      <c r="G887">
        <v>2.2999999999999998</v>
      </c>
      <c r="H887">
        <f>ROUND(Calls[[#This Row],[Satisfactory Rating]],0)</f>
        <v>2</v>
      </c>
      <c r="I887" t="str" cm="1">
        <f t="array" ref="I887">_xlfn.IFS(Calls[[#This Row],[Duration (Min)]]&lt;=30,"Under 30 mins",Calls[[#This Row],[Duration (Min)]]&lt;=60,"Under 1h",Calls[[#This Row],[Duration (Min)]]&lt;=120,"Under 2",TRUE,"More than 2h")</f>
        <v>Under 2</v>
      </c>
      <c r="J887">
        <f>IF(MONTH(Calls[[#This Row],[Date of Call]])&lt;=3,YEAR(Calls[[#This Row],[Date of Call]]),YEAR(Calls[[#This Row],[Date of Call]])+1)</f>
        <v>2026</v>
      </c>
      <c r="K887" t="str">
        <f>TEXT(Calls[[#This Row],[Date of Call]],"dddd")</f>
        <v>Friday</v>
      </c>
      <c r="L887" t="str">
        <f>TEXT(Calls[[#This Row],[Date of Call]],"mmm")</f>
        <v>Jun</v>
      </c>
    </row>
    <row r="888" spans="1:12" x14ac:dyDescent="0.3">
      <c r="A888" t="s">
        <v>892</v>
      </c>
      <c r="B888" t="s">
        <v>1007</v>
      </c>
      <c r="C888">
        <v>131</v>
      </c>
      <c r="D888" t="s">
        <v>1026</v>
      </c>
      <c r="E888" t="s">
        <v>1210</v>
      </c>
      <c r="F888">
        <v>118</v>
      </c>
      <c r="G888">
        <v>4.7</v>
      </c>
      <c r="H888">
        <f>ROUND(Calls[[#This Row],[Satisfactory Rating]],0)</f>
        <v>5</v>
      </c>
      <c r="I888" t="str" cm="1">
        <f t="array" ref="I888">_xlfn.IFS(Calls[[#This Row],[Duration (Min)]]&lt;=30,"Under 30 mins",Calls[[#This Row],[Duration (Min)]]&lt;=60,"Under 1h",Calls[[#This Row],[Duration (Min)]]&lt;=120,"Under 2",TRUE,"More than 2h")</f>
        <v>More than 2h</v>
      </c>
      <c r="J888">
        <f>IF(MONTH(Calls[[#This Row],[Date of Call]])&lt;=3,YEAR(Calls[[#This Row],[Date of Call]]),YEAR(Calls[[#This Row],[Date of Call]])+1)</f>
        <v>2026</v>
      </c>
      <c r="K888" t="str">
        <f>TEXT(Calls[[#This Row],[Date of Call]],"dddd")</f>
        <v>Friday</v>
      </c>
      <c r="L888" t="str">
        <f>TEXT(Calls[[#This Row],[Date of Call]],"mmm")</f>
        <v>Jun</v>
      </c>
    </row>
    <row r="889" spans="1:12" x14ac:dyDescent="0.3">
      <c r="A889" t="s">
        <v>893</v>
      </c>
      <c r="B889" t="s">
        <v>1011</v>
      </c>
      <c r="C889">
        <v>16</v>
      </c>
      <c r="D889" t="s">
        <v>1032</v>
      </c>
      <c r="E889" t="s">
        <v>1210</v>
      </c>
      <c r="F889">
        <v>117</v>
      </c>
      <c r="G889">
        <v>3</v>
      </c>
      <c r="H889">
        <f>ROUND(Calls[[#This Row],[Satisfactory Rating]],0)</f>
        <v>3</v>
      </c>
      <c r="I889" t="str" cm="1">
        <f t="array" ref="I889">_xlfn.IFS(Calls[[#This Row],[Duration (Min)]]&lt;=30,"Under 30 mins",Calls[[#This Row],[Duration (Min)]]&lt;=60,"Under 1h",Calls[[#This Row],[Duration (Min)]]&lt;=120,"Under 2",TRUE,"More than 2h")</f>
        <v>Under 30 mins</v>
      </c>
      <c r="J889">
        <f>IF(MONTH(Calls[[#This Row],[Date of Call]])&lt;=3,YEAR(Calls[[#This Row],[Date of Call]]),YEAR(Calls[[#This Row],[Date of Call]])+1)</f>
        <v>2026</v>
      </c>
      <c r="K889" t="str">
        <f>TEXT(Calls[[#This Row],[Date of Call]],"dddd")</f>
        <v>Friday</v>
      </c>
      <c r="L889" t="str">
        <f>TEXT(Calls[[#This Row],[Date of Call]],"mmm")</f>
        <v>Jun</v>
      </c>
    </row>
    <row r="890" spans="1:12" x14ac:dyDescent="0.3">
      <c r="A890" t="s">
        <v>894</v>
      </c>
      <c r="B890" t="s">
        <v>1024</v>
      </c>
      <c r="C890">
        <v>20</v>
      </c>
      <c r="D890" t="s">
        <v>1031</v>
      </c>
      <c r="E890" t="s">
        <v>1210</v>
      </c>
      <c r="F890">
        <v>83</v>
      </c>
      <c r="G890">
        <v>2.9</v>
      </c>
      <c r="H890">
        <f>ROUND(Calls[[#This Row],[Satisfactory Rating]],0)</f>
        <v>3</v>
      </c>
      <c r="I890" t="str" cm="1">
        <f t="array" ref="I890">_xlfn.IFS(Calls[[#This Row],[Duration (Min)]]&lt;=30,"Under 30 mins",Calls[[#This Row],[Duration (Min)]]&lt;=60,"Under 1h",Calls[[#This Row],[Duration (Min)]]&lt;=120,"Under 2",TRUE,"More than 2h")</f>
        <v>Under 30 mins</v>
      </c>
      <c r="J890">
        <f>IF(MONTH(Calls[[#This Row],[Date of Call]])&lt;=3,YEAR(Calls[[#This Row],[Date of Call]]),YEAR(Calls[[#This Row],[Date of Call]])+1)</f>
        <v>2026</v>
      </c>
      <c r="K890" t="str">
        <f>TEXT(Calls[[#This Row],[Date of Call]],"dddd")</f>
        <v>Friday</v>
      </c>
      <c r="L890" t="str">
        <f>TEXT(Calls[[#This Row],[Date of Call]],"mmm")</f>
        <v>Jun</v>
      </c>
    </row>
    <row r="891" spans="1:12" x14ac:dyDescent="0.3">
      <c r="A891" t="s">
        <v>895</v>
      </c>
      <c r="B891" t="s">
        <v>1010</v>
      </c>
      <c r="C891">
        <v>77</v>
      </c>
      <c r="D891" t="s">
        <v>1029</v>
      </c>
      <c r="E891" t="s">
        <v>1210</v>
      </c>
      <c r="F891">
        <v>92</v>
      </c>
      <c r="G891">
        <v>4.3</v>
      </c>
      <c r="H891">
        <f>ROUND(Calls[[#This Row],[Satisfactory Rating]],0)</f>
        <v>4</v>
      </c>
      <c r="I891" t="str" cm="1">
        <f t="array" ref="I891">_xlfn.IFS(Calls[[#This Row],[Duration (Min)]]&lt;=30,"Under 30 mins",Calls[[#This Row],[Duration (Min)]]&lt;=60,"Under 1h",Calls[[#This Row],[Duration (Min)]]&lt;=120,"Under 2",TRUE,"More than 2h")</f>
        <v>Under 2</v>
      </c>
      <c r="J891">
        <f>IF(MONTH(Calls[[#This Row],[Date of Call]])&lt;=3,YEAR(Calls[[#This Row],[Date of Call]]),YEAR(Calls[[#This Row],[Date of Call]])+1)</f>
        <v>2026</v>
      </c>
      <c r="K891" t="str">
        <f>TEXT(Calls[[#This Row],[Date of Call]],"dddd")</f>
        <v>Friday</v>
      </c>
      <c r="L891" t="str">
        <f>TEXT(Calls[[#This Row],[Date of Call]],"mmm")</f>
        <v>Jun</v>
      </c>
    </row>
    <row r="892" spans="1:12" x14ac:dyDescent="0.3">
      <c r="A892" t="s">
        <v>896</v>
      </c>
      <c r="B892" t="s">
        <v>1022</v>
      </c>
      <c r="C892">
        <v>38</v>
      </c>
      <c r="D892" t="s">
        <v>1026</v>
      </c>
      <c r="E892" t="s">
        <v>1211</v>
      </c>
      <c r="F892">
        <v>149</v>
      </c>
      <c r="G892">
        <v>3.2</v>
      </c>
      <c r="H892">
        <f>ROUND(Calls[[#This Row],[Satisfactory Rating]],0)</f>
        <v>3</v>
      </c>
      <c r="I892" t="str" cm="1">
        <f t="array" ref="I892">_xlfn.IFS(Calls[[#This Row],[Duration (Min)]]&lt;=30,"Under 30 mins",Calls[[#This Row],[Duration (Min)]]&lt;=60,"Under 1h",Calls[[#This Row],[Duration (Min)]]&lt;=120,"Under 2",TRUE,"More than 2h")</f>
        <v>Under 1h</v>
      </c>
      <c r="J892">
        <f>IF(MONTH(Calls[[#This Row],[Date of Call]])&lt;=3,YEAR(Calls[[#This Row],[Date of Call]]),YEAR(Calls[[#This Row],[Date of Call]])+1)</f>
        <v>2026</v>
      </c>
      <c r="K892" t="str">
        <f>TEXT(Calls[[#This Row],[Date of Call]],"dddd")</f>
        <v>Saturday</v>
      </c>
      <c r="L892" t="str">
        <f>TEXT(Calls[[#This Row],[Date of Call]],"mmm")</f>
        <v>Jun</v>
      </c>
    </row>
    <row r="893" spans="1:12" x14ac:dyDescent="0.3">
      <c r="A893" t="s">
        <v>897</v>
      </c>
      <c r="B893" t="s">
        <v>1020</v>
      </c>
      <c r="C893">
        <v>132</v>
      </c>
      <c r="D893" t="s">
        <v>1032</v>
      </c>
      <c r="E893" t="s">
        <v>1211</v>
      </c>
      <c r="F893">
        <v>31</v>
      </c>
      <c r="G893">
        <v>4.0999999999999996</v>
      </c>
      <c r="H893">
        <f>ROUND(Calls[[#This Row],[Satisfactory Rating]],0)</f>
        <v>4</v>
      </c>
      <c r="I893" t="str" cm="1">
        <f t="array" ref="I893">_xlfn.IFS(Calls[[#This Row],[Duration (Min)]]&lt;=30,"Under 30 mins",Calls[[#This Row],[Duration (Min)]]&lt;=60,"Under 1h",Calls[[#This Row],[Duration (Min)]]&lt;=120,"Under 2",TRUE,"More than 2h")</f>
        <v>More than 2h</v>
      </c>
      <c r="J893">
        <f>IF(MONTH(Calls[[#This Row],[Date of Call]])&lt;=3,YEAR(Calls[[#This Row],[Date of Call]]),YEAR(Calls[[#This Row],[Date of Call]])+1)</f>
        <v>2026</v>
      </c>
      <c r="K893" t="str">
        <f>TEXT(Calls[[#This Row],[Date of Call]],"dddd")</f>
        <v>Saturday</v>
      </c>
      <c r="L893" t="str">
        <f>TEXT(Calls[[#This Row],[Date of Call]],"mmm")</f>
        <v>Jun</v>
      </c>
    </row>
    <row r="894" spans="1:12" x14ac:dyDescent="0.3">
      <c r="A894" t="s">
        <v>898</v>
      </c>
      <c r="B894" t="s">
        <v>1012</v>
      </c>
      <c r="C894">
        <v>69</v>
      </c>
      <c r="D894" t="s">
        <v>1031</v>
      </c>
      <c r="E894" t="s">
        <v>1211</v>
      </c>
      <c r="F894">
        <v>69</v>
      </c>
      <c r="G894">
        <v>2.1</v>
      </c>
      <c r="H894">
        <f>ROUND(Calls[[#This Row],[Satisfactory Rating]],0)</f>
        <v>2</v>
      </c>
      <c r="I894" t="str" cm="1">
        <f t="array" ref="I894">_xlfn.IFS(Calls[[#This Row],[Duration (Min)]]&lt;=30,"Under 30 mins",Calls[[#This Row],[Duration (Min)]]&lt;=60,"Under 1h",Calls[[#This Row],[Duration (Min)]]&lt;=120,"Under 2",TRUE,"More than 2h")</f>
        <v>Under 2</v>
      </c>
      <c r="J894">
        <f>IF(MONTH(Calls[[#This Row],[Date of Call]])&lt;=3,YEAR(Calls[[#This Row],[Date of Call]]),YEAR(Calls[[#This Row],[Date of Call]])+1)</f>
        <v>2026</v>
      </c>
      <c r="K894" t="str">
        <f>TEXT(Calls[[#This Row],[Date of Call]],"dddd")</f>
        <v>Saturday</v>
      </c>
      <c r="L894" t="str">
        <f>TEXT(Calls[[#This Row],[Date of Call]],"mmm")</f>
        <v>Jun</v>
      </c>
    </row>
    <row r="895" spans="1:12" x14ac:dyDescent="0.3">
      <c r="A895" t="s">
        <v>899</v>
      </c>
      <c r="B895" t="s">
        <v>1018</v>
      </c>
      <c r="C895">
        <v>143</v>
      </c>
      <c r="D895" t="s">
        <v>1026</v>
      </c>
      <c r="E895" t="s">
        <v>1211</v>
      </c>
      <c r="F895">
        <v>27</v>
      </c>
      <c r="G895">
        <v>3.1</v>
      </c>
      <c r="H895">
        <f>ROUND(Calls[[#This Row],[Satisfactory Rating]],0)</f>
        <v>3</v>
      </c>
      <c r="I895" t="str" cm="1">
        <f t="array" ref="I895">_xlfn.IFS(Calls[[#This Row],[Duration (Min)]]&lt;=30,"Under 30 mins",Calls[[#This Row],[Duration (Min)]]&lt;=60,"Under 1h",Calls[[#This Row],[Duration (Min)]]&lt;=120,"Under 2",TRUE,"More than 2h")</f>
        <v>More than 2h</v>
      </c>
      <c r="J895">
        <f>IF(MONTH(Calls[[#This Row],[Date of Call]])&lt;=3,YEAR(Calls[[#This Row],[Date of Call]]),YEAR(Calls[[#This Row],[Date of Call]])+1)</f>
        <v>2026</v>
      </c>
      <c r="K895" t="str">
        <f>TEXT(Calls[[#This Row],[Date of Call]],"dddd")</f>
        <v>Saturday</v>
      </c>
      <c r="L895" t="str">
        <f>TEXT(Calls[[#This Row],[Date of Call]],"mmm")</f>
        <v>Jun</v>
      </c>
    </row>
    <row r="896" spans="1:12" x14ac:dyDescent="0.3">
      <c r="A896" t="s">
        <v>900</v>
      </c>
      <c r="B896" t="s">
        <v>1025</v>
      </c>
      <c r="C896">
        <v>142</v>
      </c>
      <c r="D896" t="s">
        <v>1026</v>
      </c>
      <c r="E896" t="s">
        <v>1211</v>
      </c>
      <c r="F896">
        <v>68</v>
      </c>
      <c r="G896">
        <v>2.7</v>
      </c>
      <c r="H896">
        <f>ROUND(Calls[[#This Row],[Satisfactory Rating]],0)</f>
        <v>3</v>
      </c>
      <c r="I896" t="str" cm="1">
        <f t="array" ref="I896">_xlfn.IFS(Calls[[#This Row],[Duration (Min)]]&lt;=30,"Under 30 mins",Calls[[#This Row],[Duration (Min)]]&lt;=60,"Under 1h",Calls[[#This Row],[Duration (Min)]]&lt;=120,"Under 2",TRUE,"More than 2h")</f>
        <v>More than 2h</v>
      </c>
      <c r="J896">
        <f>IF(MONTH(Calls[[#This Row],[Date of Call]])&lt;=3,YEAR(Calls[[#This Row],[Date of Call]]),YEAR(Calls[[#This Row],[Date of Call]])+1)</f>
        <v>2026</v>
      </c>
      <c r="K896" t="str">
        <f>TEXT(Calls[[#This Row],[Date of Call]],"dddd")</f>
        <v>Saturday</v>
      </c>
      <c r="L896" t="str">
        <f>TEXT(Calls[[#This Row],[Date of Call]],"mmm")</f>
        <v>Jun</v>
      </c>
    </row>
    <row r="897" spans="1:12" x14ac:dyDescent="0.3">
      <c r="A897" t="s">
        <v>901</v>
      </c>
      <c r="B897" t="s">
        <v>1021</v>
      </c>
      <c r="C897">
        <v>96</v>
      </c>
      <c r="D897" t="s">
        <v>1032</v>
      </c>
      <c r="E897" t="s">
        <v>1212</v>
      </c>
      <c r="F897">
        <v>35</v>
      </c>
      <c r="G897">
        <v>2.8</v>
      </c>
      <c r="H897">
        <f>ROUND(Calls[[#This Row],[Satisfactory Rating]],0)</f>
        <v>3</v>
      </c>
      <c r="I897" t="str" cm="1">
        <f t="array" ref="I897">_xlfn.IFS(Calls[[#This Row],[Duration (Min)]]&lt;=30,"Under 30 mins",Calls[[#This Row],[Duration (Min)]]&lt;=60,"Under 1h",Calls[[#This Row],[Duration (Min)]]&lt;=120,"Under 2",TRUE,"More than 2h")</f>
        <v>Under 2</v>
      </c>
      <c r="J897">
        <f>IF(MONTH(Calls[[#This Row],[Date of Call]])&lt;=3,YEAR(Calls[[#This Row],[Date of Call]]),YEAR(Calls[[#This Row],[Date of Call]])+1)</f>
        <v>2026</v>
      </c>
      <c r="K897" t="str">
        <f>TEXT(Calls[[#This Row],[Date of Call]],"dddd")</f>
        <v>Sunday</v>
      </c>
      <c r="L897" t="str">
        <f>TEXT(Calls[[#This Row],[Date of Call]],"mmm")</f>
        <v>Jun</v>
      </c>
    </row>
    <row r="898" spans="1:12" x14ac:dyDescent="0.3">
      <c r="A898" t="s">
        <v>902</v>
      </c>
      <c r="B898" t="s">
        <v>1024</v>
      </c>
      <c r="C898">
        <v>91</v>
      </c>
      <c r="D898" t="s">
        <v>1031</v>
      </c>
      <c r="E898" t="s">
        <v>1212</v>
      </c>
      <c r="F898">
        <v>71</v>
      </c>
      <c r="G898">
        <v>1.4</v>
      </c>
      <c r="H898">
        <f>ROUND(Calls[[#This Row],[Satisfactory Rating]],0)</f>
        <v>1</v>
      </c>
      <c r="I898" t="str" cm="1">
        <f t="array" ref="I898">_xlfn.IFS(Calls[[#This Row],[Duration (Min)]]&lt;=30,"Under 30 mins",Calls[[#This Row],[Duration (Min)]]&lt;=60,"Under 1h",Calls[[#This Row],[Duration (Min)]]&lt;=120,"Under 2",TRUE,"More than 2h")</f>
        <v>Under 2</v>
      </c>
      <c r="J898">
        <f>IF(MONTH(Calls[[#This Row],[Date of Call]])&lt;=3,YEAR(Calls[[#This Row],[Date of Call]]),YEAR(Calls[[#This Row],[Date of Call]])+1)</f>
        <v>2026</v>
      </c>
      <c r="K898" t="str">
        <f>TEXT(Calls[[#This Row],[Date of Call]],"dddd")</f>
        <v>Sunday</v>
      </c>
      <c r="L898" t="str">
        <f>TEXT(Calls[[#This Row],[Date of Call]],"mmm")</f>
        <v>Jun</v>
      </c>
    </row>
    <row r="899" spans="1:12" x14ac:dyDescent="0.3">
      <c r="A899" t="s">
        <v>903</v>
      </c>
      <c r="B899" t="s">
        <v>1015</v>
      </c>
      <c r="C899">
        <v>18</v>
      </c>
      <c r="D899" t="s">
        <v>1028</v>
      </c>
      <c r="E899" t="s">
        <v>1212</v>
      </c>
      <c r="F899">
        <v>121</v>
      </c>
      <c r="G899">
        <v>4.9000000000000004</v>
      </c>
      <c r="H899">
        <f>ROUND(Calls[[#This Row],[Satisfactory Rating]],0)</f>
        <v>5</v>
      </c>
      <c r="I899" t="str" cm="1">
        <f t="array" ref="I899">_xlfn.IFS(Calls[[#This Row],[Duration (Min)]]&lt;=30,"Under 30 mins",Calls[[#This Row],[Duration (Min)]]&lt;=60,"Under 1h",Calls[[#This Row],[Duration (Min)]]&lt;=120,"Under 2",TRUE,"More than 2h")</f>
        <v>Under 30 mins</v>
      </c>
      <c r="J899">
        <f>IF(MONTH(Calls[[#This Row],[Date of Call]])&lt;=3,YEAR(Calls[[#This Row],[Date of Call]]),YEAR(Calls[[#This Row],[Date of Call]])+1)</f>
        <v>2026</v>
      </c>
      <c r="K899" t="str">
        <f>TEXT(Calls[[#This Row],[Date of Call]],"dddd")</f>
        <v>Sunday</v>
      </c>
      <c r="L899" t="str">
        <f>TEXT(Calls[[#This Row],[Date of Call]],"mmm")</f>
        <v>Jun</v>
      </c>
    </row>
    <row r="900" spans="1:12" x14ac:dyDescent="0.3">
      <c r="A900" t="s">
        <v>904</v>
      </c>
      <c r="B900" t="s">
        <v>1018</v>
      </c>
      <c r="C900">
        <v>71</v>
      </c>
      <c r="D900" t="s">
        <v>1031</v>
      </c>
      <c r="E900" t="s">
        <v>1212</v>
      </c>
      <c r="F900">
        <v>63</v>
      </c>
      <c r="G900">
        <v>1.4</v>
      </c>
      <c r="H900">
        <f>ROUND(Calls[[#This Row],[Satisfactory Rating]],0)</f>
        <v>1</v>
      </c>
      <c r="I900" t="str" cm="1">
        <f t="array" ref="I900">_xlfn.IFS(Calls[[#This Row],[Duration (Min)]]&lt;=30,"Under 30 mins",Calls[[#This Row],[Duration (Min)]]&lt;=60,"Under 1h",Calls[[#This Row],[Duration (Min)]]&lt;=120,"Under 2",TRUE,"More than 2h")</f>
        <v>Under 2</v>
      </c>
      <c r="J900">
        <f>IF(MONTH(Calls[[#This Row],[Date of Call]])&lt;=3,YEAR(Calls[[#This Row],[Date of Call]]),YEAR(Calls[[#This Row],[Date of Call]])+1)</f>
        <v>2026</v>
      </c>
      <c r="K900" t="str">
        <f>TEXT(Calls[[#This Row],[Date of Call]],"dddd")</f>
        <v>Sunday</v>
      </c>
      <c r="L900" t="str">
        <f>TEXT(Calls[[#This Row],[Date of Call]],"mmm")</f>
        <v>Jun</v>
      </c>
    </row>
    <row r="901" spans="1:12" x14ac:dyDescent="0.3">
      <c r="A901" t="s">
        <v>905</v>
      </c>
      <c r="B901" t="s">
        <v>1009</v>
      </c>
      <c r="C901">
        <v>27</v>
      </c>
      <c r="D901" t="s">
        <v>1030</v>
      </c>
      <c r="E901" t="s">
        <v>1212</v>
      </c>
      <c r="F901">
        <v>58</v>
      </c>
      <c r="G901">
        <v>2.2000000000000002</v>
      </c>
      <c r="H901">
        <f>ROUND(Calls[[#This Row],[Satisfactory Rating]],0)</f>
        <v>2</v>
      </c>
      <c r="I901" t="str" cm="1">
        <f t="array" ref="I901">_xlfn.IFS(Calls[[#This Row],[Duration (Min)]]&lt;=30,"Under 30 mins",Calls[[#This Row],[Duration (Min)]]&lt;=60,"Under 1h",Calls[[#This Row],[Duration (Min)]]&lt;=120,"Under 2",TRUE,"More than 2h")</f>
        <v>Under 30 mins</v>
      </c>
      <c r="J901">
        <f>IF(MONTH(Calls[[#This Row],[Date of Call]])&lt;=3,YEAR(Calls[[#This Row],[Date of Call]]),YEAR(Calls[[#This Row],[Date of Call]])+1)</f>
        <v>2026</v>
      </c>
      <c r="K901" t="str">
        <f>TEXT(Calls[[#This Row],[Date of Call]],"dddd")</f>
        <v>Sunday</v>
      </c>
      <c r="L901" t="str">
        <f>TEXT(Calls[[#This Row],[Date of Call]],"mmm")</f>
        <v>Jun</v>
      </c>
    </row>
    <row r="902" spans="1:12" x14ac:dyDescent="0.3">
      <c r="A902" t="s">
        <v>906</v>
      </c>
      <c r="B902" t="s">
        <v>1011</v>
      </c>
      <c r="C902">
        <v>57</v>
      </c>
      <c r="D902" t="s">
        <v>1026</v>
      </c>
      <c r="E902" t="s">
        <v>1213</v>
      </c>
      <c r="F902">
        <v>143</v>
      </c>
      <c r="G902">
        <v>3.2</v>
      </c>
      <c r="H902">
        <f>ROUND(Calls[[#This Row],[Satisfactory Rating]],0)</f>
        <v>3</v>
      </c>
      <c r="I902" t="str" cm="1">
        <f t="array" ref="I902">_xlfn.IFS(Calls[[#This Row],[Duration (Min)]]&lt;=30,"Under 30 mins",Calls[[#This Row],[Duration (Min)]]&lt;=60,"Under 1h",Calls[[#This Row],[Duration (Min)]]&lt;=120,"Under 2",TRUE,"More than 2h")</f>
        <v>Under 1h</v>
      </c>
      <c r="J902">
        <f>IF(MONTH(Calls[[#This Row],[Date of Call]])&lt;=3,YEAR(Calls[[#This Row],[Date of Call]]),YEAR(Calls[[#This Row],[Date of Call]])+1)</f>
        <v>2026</v>
      </c>
      <c r="K902" t="str">
        <f>TEXT(Calls[[#This Row],[Date of Call]],"dddd")</f>
        <v>Monday</v>
      </c>
      <c r="L902" t="str">
        <f>TEXT(Calls[[#This Row],[Date of Call]],"mmm")</f>
        <v>Jun</v>
      </c>
    </row>
    <row r="903" spans="1:12" x14ac:dyDescent="0.3">
      <c r="A903" t="s">
        <v>907</v>
      </c>
      <c r="B903" t="s">
        <v>1025</v>
      </c>
      <c r="C903">
        <v>10</v>
      </c>
      <c r="D903" t="s">
        <v>1031</v>
      </c>
      <c r="E903" t="s">
        <v>1213</v>
      </c>
      <c r="F903">
        <v>43</v>
      </c>
      <c r="G903">
        <v>3</v>
      </c>
      <c r="H903">
        <f>ROUND(Calls[[#This Row],[Satisfactory Rating]],0)</f>
        <v>3</v>
      </c>
      <c r="I903" t="str" cm="1">
        <f t="array" ref="I903">_xlfn.IFS(Calls[[#This Row],[Duration (Min)]]&lt;=30,"Under 30 mins",Calls[[#This Row],[Duration (Min)]]&lt;=60,"Under 1h",Calls[[#This Row],[Duration (Min)]]&lt;=120,"Under 2",TRUE,"More than 2h")</f>
        <v>Under 30 mins</v>
      </c>
      <c r="J903">
        <f>IF(MONTH(Calls[[#This Row],[Date of Call]])&lt;=3,YEAR(Calls[[#This Row],[Date of Call]]),YEAR(Calls[[#This Row],[Date of Call]])+1)</f>
        <v>2026</v>
      </c>
      <c r="K903" t="str">
        <f>TEXT(Calls[[#This Row],[Date of Call]],"dddd")</f>
        <v>Monday</v>
      </c>
      <c r="L903" t="str">
        <f>TEXT(Calls[[#This Row],[Date of Call]],"mmm")</f>
        <v>Jun</v>
      </c>
    </row>
    <row r="904" spans="1:12" x14ac:dyDescent="0.3">
      <c r="A904" t="s">
        <v>908</v>
      </c>
      <c r="B904" t="s">
        <v>1009</v>
      </c>
      <c r="C904">
        <v>55</v>
      </c>
      <c r="D904" t="s">
        <v>1028</v>
      </c>
      <c r="E904" t="s">
        <v>1213</v>
      </c>
      <c r="F904">
        <v>84</v>
      </c>
      <c r="G904">
        <v>3.4</v>
      </c>
      <c r="H904">
        <f>ROUND(Calls[[#This Row],[Satisfactory Rating]],0)</f>
        <v>3</v>
      </c>
      <c r="I904" t="str" cm="1">
        <f t="array" ref="I904">_xlfn.IFS(Calls[[#This Row],[Duration (Min)]]&lt;=30,"Under 30 mins",Calls[[#This Row],[Duration (Min)]]&lt;=60,"Under 1h",Calls[[#This Row],[Duration (Min)]]&lt;=120,"Under 2",TRUE,"More than 2h")</f>
        <v>Under 1h</v>
      </c>
      <c r="J904">
        <f>IF(MONTH(Calls[[#This Row],[Date of Call]])&lt;=3,YEAR(Calls[[#This Row],[Date of Call]]),YEAR(Calls[[#This Row],[Date of Call]])+1)</f>
        <v>2026</v>
      </c>
      <c r="K904" t="str">
        <f>TEXT(Calls[[#This Row],[Date of Call]],"dddd")</f>
        <v>Monday</v>
      </c>
      <c r="L904" t="str">
        <f>TEXT(Calls[[#This Row],[Date of Call]],"mmm")</f>
        <v>Jun</v>
      </c>
    </row>
    <row r="905" spans="1:12" x14ac:dyDescent="0.3">
      <c r="A905" t="s">
        <v>909</v>
      </c>
      <c r="B905" t="s">
        <v>1007</v>
      </c>
      <c r="C905">
        <v>68</v>
      </c>
      <c r="D905" t="s">
        <v>1030</v>
      </c>
      <c r="E905" t="s">
        <v>1213</v>
      </c>
      <c r="F905">
        <v>107</v>
      </c>
      <c r="G905">
        <v>5</v>
      </c>
      <c r="H905">
        <f>ROUND(Calls[[#This Row],[Satisfactory Rating]],0)</f>
        <v>5</v>
      </c>
      <c r="I905" t="str" cm="1">
        <f t="array" ref="I905">_xlfn.IFS(Calls[[#This Row],[Duration (Min)]]&lt;=30,"Under 30 mins",Calls[[#This Row],[Duration (Min)]]&lt;=60,"Under 1h",Calls[[#This Row],[Duration (Min)]]&lt;=120,"Under 2",TRUE,"More than 2h")</f>
        <v>Under 2</v>
      </c>
      <c r="J905">
        <f>IF(MONTH(Calls[[#This Row],[Date of Call]])&lt;=3,YEAR(Calls[[#This Row],[Date of Call]]),YEAR(Calls[[#This Row],[Date of Call]])+1)</f>
        <v>2026</v>
      </c>
      <c r="K905" t="str">
        <f>TEXT(Calls[[#This Row],[Date of Call]],"dddd")</f>
        <v>Monday</v>
      </c>
      <c r="L905" t="str">
        <f>TEXT(Calls[[#This Row],[Date of Call]],"mmm")</f>
        <v>Jun</v>
      </c>
    </row>
    <row r="906" spans="1:12" x14ac:dyDescent="0.3">
      <c r="A906" t="s">
        <v>910</v>
      </c>
      <c r="B906" t="s">
        <v>1020</v>
      </c>
      <c r="C906">
        <v>43</v>
      </c>
      <c r="D906" t="s">
        <v>1032</v>
      </c>
      <c r="E906" t="s">
        <v>1213</v>
      </c>
      <c r="F906">
        <v>53</v>
      </c>
      <c r="G906">
        <v>2.2999999999999998</v>
      </c>
      <c r="H906">
        <f>ROUND(Calls[[#This Row],[Satisfactory Rating]],0)</f>
        <v>2</v>
      </c>
      <c r="I906" t="str" cm="1">
        <f t="array" ref="I906">_xlfn.IFS(Calls[[#This Row],[Duration (Min)]]&lt;=30,"Under 30 mins",Calls[[#This Row],[Duration (Min)]]&lt;=60,"Under 1h",Calls[[#This Row],[Duration (Min)]]&lt;=120,"Under 2",TRUE,"More than 2h")</f>
        <v>Under 1h</v>
      </c>
      <c r="J906">
        <f>IF(MONTH(Calls[[#This Row],[Date of Call]])&lt;=3,YEAR(Calls[[#This Row],[Date of Call]]),YEAR(Calls[[#This Row],[Date of Call]])+1)</f>
        <v>2026</v>
      </c>
      <c r="K906" t="str">
        <f>TEXT(Calls[[#This Row],[Date of Call]],"dddd")</f>
        <v>Monday</v>
      </c>
      <c r="L906" t="str">
        <f>TEXT(Calls[[#This Row],[Date of Call]],"mmm")</f>
        <v>Jun</v>
      </c>
    </row>
    <row r="907" spans="1:12" x14ac:dyDescent="0.3">
      <c r="A907" t="s">
        <v>911</v>
      </c>
      <c r="B907" t="s">
        <v>1017</v>
      </c>
      <c r="C907">
        <v>98</v>
      </c>
      <c r="D907" t="s">
        <v>1032</v>
      </c>
      <c r="E907" t="s">
        <v>1214</v>
      </c>
      <c r="F907">
        <v>30</v>
      </c>
      <c r="G907">
        <v>3.2</v>
      </c>
      <c r="H907">
        <f>ROUND(Calls[[#This Row],[Satisfactory Rating]],0)</f>
        <v>3</v>
      </c>
      <c r="I907" t="str" cm="1">
        <f t="array" ref="I907">_xlfn.IFS(Calls[[#This Row],[Duration (Min)]]&lt;=30,"Under 30 mins",Calls[[#This Row],[Duration (Min)]]&lt;=60,"Under 1h",Calls[[#This Row],[Duration (Min)]]&lt;=120,"Under 2",TRUE,"More than 2h")</f>
        <v>Under 2</v>
      </c>
      <c r="J907">
        <f>IF(MONTH(Calls[[#This Row],[Date of Call]])&lt;=3,YEAR(Calls[[#This Row],[Date of Call]]),YEAR(Calls[[#This Row],[Date of Call]])+1)</f>
        <v>2026</v>
      </c>
      <c r="K907" t="str">
        <f>TEXT(Calls[[#This Row],[Date of Call]],"dddd")</f>
        <v>Tuesday</v>
      </c>
      <c r="L907" t="str">
        <f>TEXT(Calls[[#This Row],[Date of Call]],"mmm")</f>
        <v>Jul</v>
      </c>
    </row>
    <row r="908" spans="1:12" x14ac:dyDescent="0.3">
      <c r="A908" t="s">
        <v>912</v>
      </c>
      <c r="B908" t="s">
        <v>1008</v>
      </c>
      <c r="C908">
        <v>49</v>
      </c>
      <c r="D908" t="s">
        <v>1031</v>
      </c>
      <c r="E908" t="s">
        <v>1214</v>
      </c>
      <c r="F908">
        <v>112</v>
      </c>
      <c r="G908">
        <v>4.9000000000000004</v>
      </c>
      <c r="H908">
        <f>ROUND(Calls[[#This Row],[Satisfactory Rating]],0)</f>
        <v>5</v>
      </c>
      <c r="I908" t="str" cm="1">
        <f t="array" ref="I908">_xlfn.IFS(Calls[[#This Row],[Duration (Min)]]&lt;=30,"Under 30 mins",Calls[[#This Row],[Duration (Min)]]&lt;=60,"Under 1h",Calls[[#This Row],[Duration (Min)]]&lt;=120,"Under 2",TRUE,"More than 2h")</f>
        <v>Under 1h</v>
      </c>
      <c r="J908">
        <f>IF(MONTH(Calls[[#This Row],[Date of Call]])&lt;=3,YEAR(Calls[[#This Row],[Date of Call]]),YEAR(Calls[[#This Row],[Date of Call]])+1)</f>
        <v>2026</v>
      </c>
      <c r="K908" t="str">
        <f>TEXT(Calls[[#This Row],[Date of Call]],"dddd")</f>
        <v>Tuesday</v>
      </c>
      <c r="L908" t="str">
        <f>TEXT(Calls[[#This Row],[Date of Call]],"mmm")</f>
        <v>Jul</v>
      </c>
    </row>
    <row r="909" spans="1:12" x14ac:dyDescent="0.3">
      <c r="A909" t="s">
        <v>913</v>
      </c>
      <c r="B909" t="s">
        <v>1010</v>
      </c>
      <c r="C909">
        <v>153</v>
      </c>
      <c r="D909" t="s">
        <v>1029</v>
      </c>
      <c r="E909" t="s">
        <v>1214</v>
      </c>
      <c r="F909">
        <v>47</v>
      </c>
      <c r="G909">
        <v>3.5</v>
      </c>
      <c r="H909">
        <f>ROUND(Calls[[#This Row],[Satisfactory Rating]],0)</f>
        <v>4</v>
      </c>
      <c r="I909" t="str" cm="1">
        <f t="array" ref="I909">_xlfn.IFS(Calls[[#This Row],[Duration (Min)]]&lt;=30,"Under 30 mins",Calls[[#This Row],[Duration (Min)]]&lt;=60,"Under 1h",Calls[[#This Row],[Duration (Min)]]&lt;=120,"Under 2",TRUE,"More than 2h")</f>
        <v>More than 2h</v>
      </c>
      <c r="J909">
        <f>IF(MONTH(Calls[[#This Row],[Date of Call]])&lt;=3,YEAR(Calls[[#This Row],[Date of Call]]),YEAR(Calls[[#This Row],[Date of Call]])+1)</f>
        <v>2026</v>
      </c>
      <c r="K909" t="str">
        <f>TEXT(Calls[[#This Row],[Date of Call]],"dddd")</f>
        <v>Tuesday</v>
      </c>
      <c r="L909" t="str">
        <f>TEXT(Calls[[#This Row],[Date of Call]],"mmm")</f>
        <v>Jul</v>
      </c>
    </row>
    <row r="910" spans="1:12" x14ac:dyDescent="0.3">
      <c r="A910" t="s">
        <v>914</v>
      </c>
      <c r="B910" t="s">
        <v>1016</v>
      </c>
      <c r="C910">
        <v>158</v>
      </c>
      <c r="D910" t="s">
        <v>1027</v>
      </c>
      <c r="E910" t="s">
        <v>1214</v>
      </c>
      <c r="F910">
        <v>131</v>
      </c>
      <c r="G910">
        <v>1.4</v>
      </c>
      <c r="H910">
        <f>ROUND(Calls[[#This Row],[Satisfactory Rating]],0)</f>
        <v>1</v>
      </c>
      <c r="I910" t="str" cm="1">
        <f t="array" ref="I910">_xlfn.IFS(Calls[[#This Row],[Duration (Min)]]&lt;=30,"Under 30 mins",Calls[[#This Row],[Duration (Min)]]&lt;=60,"Under 1h",Calls[[#This Row],[Duration (Min)]]&lt;=120,"Under 2",TRUE,"More than 2h")</f>
        <v>More than 2h</v>
      </c>
      <c r="J910">
        <f>IF(MONTH(Calls[[#This Row],[Date of Call]])&lt;=3,YEAR(Calls[[#This Row],[Date of Call]]),YEAR(Calls[[#This Row],[Date of Call]])+1)</f>
        <v>2026</v>
      </c>
      <c r="K910" t="str">
        <f>TEXT(Calls[[#This Row],[Date of Call]],"dddd")</f>
        <v>Tuesday</v>
      </c>
      <c r="L910" t="str">
        <f>TEXT(Calls[[#This Row],[Date of Call]],"mmm")</f>
        <v>Jul</v>
      </c>
    </row>
    <row r="911" spans="1:12" x14ac:dyDescent="0.3">
      <c r="A911" t="s">
        <v>915</v>
      </c>
      <c r="B911" t="s">
        <v>1021</v>
      </c>
      <c r="C911">
        <v>65</v>
      </c>
      <c r="D911" t="s">
        <v>1028</v>
      </c>
      <c r="E911" t="s">
        <v>1214</v>
      </c>
      <c r="F911">
        <v>143</v>
      </c>
      <c r="G911">
        <v>2.1</v>
      </c>
      <c r="H911">
        <f>ROUND(Calls[[#This Row],[Satisfactory Rating]],0)</f>
        <v>2</v>
      </c>
      <c r="I911" t="str" cm="1">
        <f t="array" ref="I911">_xlfn.IFS(Calls[[#This Row],[Duration (Min)]]&lt;=30,"Under 30 mins",Calls[[#This Row],[Duration (Min)]]&lt;=60,"Under 1h",Calls[[#This Row],[Duration (Min)]]&lt;=120,"Under 2",TRUE,"More than 2h")</f>
        <v>Under 2</v>
      </c>
      <c r="J911">
        <f>IF(MONTH(Calls[[#This Row],[Date of Call]])&lt;=3,YEAR(Calls[[#This Row],[Date of Call]]),YEAR(Calls[[#This Row],[Date of Call]])+1)</f>
        <v>2026</v>
      </c>
      <c r="K911" t="str">
        <f>TEXT(Calls[[#This Row],[Date of Call]],"dddd")</f>
        <v>Tuesday</v>
      </c>
      <c r="L911" t="str">
        <f>TEXT(Calls[[#This Row],[Date of Call]],"mmm")</f>
        <v>Jul</v>
      </c>
    </row>
    <row r="912" spans="1:12" x14ac:dyDescent="0.3">
      <c r="A912" t="s">
        <v>916</v>
      </c>
      <c r="B912" t="s">
        <v>1024</v>
      </c>
      <c r="C912">
        <v>122</v>
      </c>
      <c r="D912" t="s">
        <v>1027</v>
      </c>
      <c r="E912" t="s">
        <v>1215</v>
      </c>
      <c r="F912">
        <v>143</v>
      </c>
      <c r="G912">
        <v>1.8</v>
      </c>
      <c r="H912">
        <f>ROUND(Calls[[#This Row],[Satisfactory Rating]],0)</f>
        <v>2</v>
      </c>
      <c r="I912" t="str" cm="1">
        <f t="array" ref="I912">_xlfn.IFS(Calls[[#This Row],[Duration (Min)]]&lt;=30,"Under 30 mins",Calls[[#This Row],[Duration (Min)]]&lt;=60,"Under 1h",Calls[[#This Row],[Duration (Min)]]&lt;=120,"Under 2",TRUE,"More than 2h")</f>
        <v>More than 2h</v>
      </c>
      <c r="J912">
        <f>IF(MONTH(Calls[[#This Row],[Date of Call]])&lt;=3,YEAR(Calls[[#This Row],[Date of Call]]),YEAR(Calls[[#This Row],[Date of Call]])+1)</f>
        <v>2026</v>
      </c>
      <c r="K912" t="str">
        <f>TEXT(Calls[[#This Row],[Date of Call]],"dddd")</f>
        <v>Wednesday</v>
      </c>
      <c r="L912" t="str">
        <f>TEXT(Calls[[#This Row],[Date of Call]],"mmm")</f>
        <v>Jul</v>
      </c>
    </row>
    <row r="913" spans="1:12" x14ac:dyDescent="0.3">
      <c r="A913" t="s">
        <v>917</v>
      </c>
      <c r="B913" t="s">
        <v>1015</v>
      </c>
      <c r="C913">
        <v>117</v>
      </c>
      <c r="D913" t="s">
        <v>1031</v>
      </c>
      <c r="E913" t="s">
        <v>1215</v>
      </c>
      <c r="F913">
        <v>89</v>
      </c>
      <c r="G913">
        <v>2.2000000000000002</v>
      </c>
      <c r="H913">
        <f>ROUND(Calls[[#This Row],[Satisfactory Rating]],0)</f>
        <v>2</v>
      </c>
      <c r="I913" t="str" cm="1">
        <f t="array" ref="I913">_xlfn.IFS(Calls[[#This Row],[Duration (Min)]]&lt;=30,"Under 30 mins",Calls[[#This Row],[Duration (Min)]]&lt;=60,"Under 1h",Calls[[#This Row],[Duration (Min)]]&lt;=120,"Under 2",TRUE,"More than 2h")</f>
        <v>Under 2</v>
      </c>
      <c r="J913">
        <f>IF(MONTH(Calls[[#This Row],[Date of Call]])&lt;=3,YEAR(Calls[[#This Row],[Date of Call]]),YEAR(Calls[[#This Row],[Date of Call]])+1)</f>
        <v>2026</v>
      </c>
      <c r="K913" t="str">
        <f>TEXT(Calls[[#This Row],[Date of Call]],"dddd")</f>
        <v>Wednesday</v>
      </c>
      <c r="L913" t="str">
        <f>TEXT(Calls[[#This Row],[Date of Call]],"mmm")</f>
        <v>Jul</v>
      </c>
    </row>
    <row r="914" spans="1:12" x14ac:dyDescent="0.3">
      <c r="A914" t="s">
        <v>918</v>
      </c>
      <c r="B914" t="s">
        <v>1010</v>
      </c>
      <c r="C914">
        <v>10</v>
      </c>
      <c r="D914" t="s">
        <v>1031</v>
      </c>
      <c r="E914" t="s">
        <v>1215</v>
      </c>
      <c r="F914">
        <v>130</v>
      </c>
      <c r="G914">
        <v>4.7</v>
      </c>
      <c r="H914">
        <f>ROUND(Calls[[#This Row],[Satisfactory Rating]],0)</f>
        <v>5</v>
      </c>
      <c r="I914" t="str" cm="1">
        <f t="array" ref="I914">_xlfn.IFS(Calls[[#This Row],[Duration (Min)]]&lt;=30,"Under 30 mins",Calls[[#This Row],[Duration (Min)]]&lt;=60,"Under 1h",Calls[[#This Row],[Duration (Min)]]&lt;=120,"Under 2",TRUE,"More than 2h")</f>
        <v>Under 30 mins</v>
      </c>
      <c r="J914">
        <f>IF(MONTH(Calls[[#This Row],[Date of Call]])&lt;=3,YEAR(Calls[[#This Row],[Date of Call]]),YEAR(Calls[[#This Row],[Date of Call]])+1)</f>
        <v>2026</v>
      </c>
      <c r="K914" t="str">
        <f>TEXT(Calls[[#This Row],[Date of Call]],"dddd")</f>
        <v>Wednesday</v>
      </c>
      <c r="L914" t="str">
        <f>TEXT(Calls[[#This Row],[Date of Call]],"mmm")</f>
        <v>Jul</v>
      </c>
    </row>
    <row r="915" spans="1:12" x14ac:dyDescent="0.3">
      <c r="A915" t="s">
        <v>919</v>
      </c>
      <c r="B915" t="s">
        <v>1010</v>
      </c>
      <c r="C915">
        <v>96</v>
      </c>
      <c r="D915" t="s">
        <v>1028</v>
      </c>
      <c r="E915" t="s">
        <v>1215</v>
      </c>
      <c r="F915">
        <v>59</v>
      </c>
      <c r="G915">
        <v>3.3</v>
      </c>
      <c r="H915">
        <f>ROUND(Calls[[#This Row],[Satisfactory Rating]],0)</f>
        <v>3</v>
      </c>
      <c r="I915" t="str" cm="1">
        <f t="array" ref="I915">_xlfn.IFS(Calls[[#This Row],[Duration (Min)]]&lt;=30,"Under 30 mins",Calls[[#This Row],[Duration (Min)]]&lt;=60,"Under 1h",Calls[[#This Row],[Duration (Min)]]&lt;=120,"Under 2",TRUE,"More than 2h")</f>
        <v>Under 2</v>
      </c>
      <c r="J915">
        <f>IF(MONTH(Calls[[#This Row],[Date of Call]])&lt;=3,YEAR(Calls[[#This Row],[Date of Call]]),YEAR(Calls[[#This Row],[Date of Call]])+1)</f>
        <v>2026</v>
      </c>
      <c r="K915" t="str">
        <f>TEXT(Calls[[#This Row],[Date of Call]],"dddd")</f>
        <v>Wednesday</v>
      </c>
      <c r="L915" t="str">
        <f>TEXT(Calls[[#This Row],[Date of Call]],"mmm")</f>
        <v>Jul</v>
      </c>
    </row>
    <row r="916" spans="1:12" x14ac:dyDescent="0.3">
      <c r="A916" t="s">
        <v>920</v>
      </c>
      <c r="B916" t="s">
        <v>1015</v>
      </c>
      <c r="C916">
        <v>121</v>
      </c>
      <c r="D916" t="s">
        <v>1027</v>
      </c>
      <c r="E916" t="s">
        <v>1215</v>
      </c>
      <c r="F916">
        <v>82</v>
      </c>
      <c r="G916">
        <v>4.9000000000000004</v>
      </c>
      <c r="H916">
        <f>ROUND(Calls[[#This Row],[Satisfactory Rating]],0)</f>
        <v>5</v>
      </c>
      <c r="I916" t="str" cm="1">
        <f t="array" ref="I916">_xlfn.IFS(Calls[[#This Row],[Duration (Min)]]&lt;=30,"Under 30 mins",Calls[[#This Row],[Duration (Min)]]&lt;=60,"Under 1h",Calls[[#This Row],[Duration (Min)]]&lt;=120,"Under 2",TRUE,"More than 2h")</f>
        <v>More than 2h</v>
      </c>
      <c r="J916">
        <f>IF(MONTH(Calls[[#This Row],[Date of Call]])&lt;=3,YEAR(Calls[[#This Row],[Date of Call]]),YEAR(Calls[[#This Row],[Date of Call]])+1)</f>
        <v>2026</v>
      </c>
      <c r="K916" t="str">
        <f>TEXT(Calls[[#This Row],[Date of Call]],"dddd")</f>
        <v>Wednesday</v>
      </c>
      <c r="L916" t="str">
        <f>TEXT(Calls[[#This Row],[Date of Call]],"mmm")</f>
        <v>Jul</v>
      </c>
    </row>
    <row r="917" spans="1:12" x14ac:dyDescent="0.3">
      <c r="A917" t="s">
        <v>921</v>
      </c>
      <c r="B917" t="s">
        <v>1012</v>
      </c>
      <c r="C917">
        <v>156</v>
      </c>
      <c r="D917" t="s">
        <v>1027</v>
      </c>
      <c r="E917" t="s">
        <v>1216</v>
      </c>
      <c r="F917">
        <v>125</v>
      </c>
      <c r="G917">
        <v>2.1</v>
      </c>
      <c r="H917">
        <f>ROUND(Calls[[#This Row],[Satisfactory Rating]],0)</f>
        <v>2</v>
      </c>
      <c r="I917" t="str" cm="1">
        <f t="array" ref="I917">_xlfn.IFS(Calls[[#This Row],[Duration (Min)]]&lt;=30,"Under 30 mins",Calls[[#This Row],[Duration (Min)]]&lt;=60,"Under 1h",Calls[[#This Row],[Duration (Min)]]&lt;=120,"Under 2",TRUE,"More than 2h")</f>
        <v>More than 2h</v>
      </c>
      <c r="J917">
        <f>IF(MONTH(Calls[[#This Row],[Date of Call]])&lt;=3,YEAR(Calls[[#This Row],[Date of Call]]),YEAR(Calls[[#This Row],[Date of Call]])+1)</f>
        <v>2026</v>
      </c>
      <c r="K917" t="str">
        <f>TEXT(Calls[[#This Row],[Date of Call]],"dddd")</f>
        <v>Thursday</v>
      </c>
      <c r="L917" t="str">
        <f>TEXT(Calls[[#This Row],[Date of Call]],"mmm")</f>
        <v>Jul</v>
      </c>
    </row>
    <row r="918" spans="1:12" x14ac:dyDescent="0.3">
      <c r="A918" t="s">
        <v>922</v>
      </c>
      <c r="B918" t="s">
        <v>1019</v>
      </c>
      <c r="C918">
        <v>142</v>
      </c>
      <c r="D918" t="s">
        <v>1027</v>
      </c>
      <c r="E918" t="s">
        <v>1216</v>
      </c>
      <c r="F918">
        <v>89</v>
      </c>
      <c r="G918">
        <v>2.8</v>
      </c>
      <c r="H918">
        <f>ROUND(Calls[[#This Row],[Satisfactory Rating]],0)</f>
        <v>3</v>
      </c>
      <c r="I918" t="str" cm="1">
        <f t="array" ref="I918">_xlfn.IFS(Calls[[#This Row],[Duration (Min)]]&lt;=30,"Under 30 mins",Calls[[#This Row],[Duration (Min)]]&lt;=60,"Under 1h",Calls[[#This Row],[Duration (Min)]]&lt;=120,"Under 2",TRUE,"More than 2h")</f>
        <v>More than 2h</v>
      </c>
      <c r="J918">
        <f>IF(MONTH(Calls[[#This Row],[Date of Call]])&lt;=3,YEAR(Calls[[#This Row],[Date of Call]]),YEAR(Calls[[#This Row],[Date of Call]])+1)</f>
        <v>2026</v>
      </c>
      <c r="K918" t="str">
        <f>TEXT(Calls[[#This Row],[Date of Call]],"dddd")</f>
        <v>Thursday</v>
      </c>
      <c r="L918" t="str">
        <f>TEXT(Calls[[#This Row],[Date of Call]],"mmm")</f>
        <v>Jul</v>
      </c>
    </row>
    <row r="919" spans="1:12" x14ac:dyDescent="0.3">
      <c r="A919" t="s">
        <v>923</v>
      </c>
      <c r="B919" t="s">
        <v>1008</v>
      </c>
      <c r="C919">
        <v>151</v>
      </c>
      <c r="D919" t="s">
        <v>1030</v>
      </c>
      <c r="E919" t="s">
        <v>1216</v>
      </c>
      <c r="F919">
        <v>80</v>
      </c>
      <c r="G919">
        <v>3.9</v>
      </c>
      <c r="H919">
        <f>ROUND(Calls[[#This Row],[Satisfactory Rating]],0)</f>
        <v>4</v>
      </c>
      <c r="I919" t="str" cm="1">
        <f t="array" ref="I919">_xlfn.IFS(Calls[[#This Row],[Duration (Min)]]&lt;=30,"Under 30 mins",Calls[[#This Row],[Duration (Min)]]&lt;=60,"Under 1h",Calls[[#This Row],[Duration (Min)]]&lt;=120,"Under 2",TRUE,"More than 2h")</f>
        <v>More than 2h</v>
      </c>
      <c r="J919">
        <f>IF(MONTH(Calls[[#This Row],[Date of Call]])&lt;=3,YEAR(Calls[[#This Row],[Date of Call]]),YEAR(Calls[[#This Row],[Date of Call]])+1)</f>
        <v>2026</v>
      </c>
      <c r="K919" t="str">
        <f>TEXT(Calls[[#This Row],[Date of Call]],"dddd")</f>
        <v>Thursday</v>
      </c>
      <c r="L919" t="str">
        <f>TEXT(Calls[[#This Row],[Date of Call]],"mmm")</f>
        <v>Jul</v>
      </c>
    </row>
    <row r="920" spans="1:12" x14ac:dyDescent="0.3">
      <c r="A920" t="s">
        <v>924</v>
      </c>
      <c r="B920" t="s">
        <v>1008</v>
      </c>
      <c r="C920">
        <v>46</v>
      </c>
      <c r="D920" t="s">
        <v>1026</v>
      </c>
      <c r="E920" t="s">
        <v>1216</v>
      </c>
      <c r="F920">
        <v>34</v>
      </c>
      <c r="G920">
        <v>4</v>
      </c>
      <c r="H920">
        <f>ROUND(Calls[[#This Row],[Satisfactory Rating]],0)</f>
        <v>4</v>
      </c>
      <c r="I920" t="str" cm="1">
        <f t="array" ref="I920">_xlfn.IFS(Calls[[#This Row],[Duration (Min)]]&lt;=30,"Under 30 mins",Calls[[#This Row],[Duration (Min)]]&lt;=60,"Under 1h",Calls[[#This Row],[Duration (Min)]]&lt;=120,"Under 2",TRUE,"More than 2h")</f>
        <v>Under 1h</v>
      </c>
      <c r="J920">
        <f>IF(MONTH(Calls[[#This Row],[Date of Call]])&lt;=3,YEAR(Calls[[#This Row],[Date of Call]]),YEAR(Calls[[#This Row],[Date of Call]])+1)</f>
        <v>2026</v>
      </c>
      <c r="K920" t="str">
        <f>TEXT(Calls[[#This Row],[Date of Call]],"dddd")</f>
        <v>Thursday</v>
      </c>
      <c r="L920" t="str">
        <f>TEXT(Calls[[#This Row],[Date of Call]],"mmm")</f>
        <v>Jul</v>
      </c>
    </row>
    <row r="921" spans="1:12" x14ac:dyDescent="0.3">
      <c r="A921" t="s">
        <v>925</v>
      </c>
      <c r="B921" t="s">
        <v>1014</v>
      </c>
      <c r="C921">
        <v>86</v>
      </c>
      <c r="D921" t="s">
        <v>1027</v>
      </c>
      <c r="E921" t="s">
        <v>1216</v>
      </c>
      <c r="F921">
        <v>132</v>
      </c>
      <c r="G921">
        <v>4.4000000000000004</v>
      </c>
      <c r="H921">
        <f>ROUND(Calls[[#This Row],[Satisfactory Rating]],0)</f>
        <v>4</v>
      </c>
      <c r="I921" t="str" cm="1">
        <f t="array" ref="I921">_xlfn.IFS(Calls[[#This Row],[Duration (Min)]]&lt;=30,"Under 30 mins",Calls[[#This Row],[Duration (Min)]]&lt;=60,"Under 1h",Calls[[#This Row],[Duration (Min)]]&lt;=120,"Under 2",TRUE,"More than 2h")</f>
        <v>Under 2</v>
      </c>
      <c r="J921">
        <f>IF(MONTH(Calls[[#This Row],[Date of Call]])&lt;=3,YEAR(Calls[[#This Row],[Date of Call]]),YEAR(Calls[[#This Row],[Date of Call]])+1)</f>
        <v>2026</v>
      </c>
      <c r="K921" t="str">
        <f>TEXT(Calls[[#This Row],[Date of Call]],"dddd")</f>
        <v>Thursday</v>
      </c>
      <c r="L921" t="str">
        <f>TEXT(Calls[[#This Row],[Date of Call]],"mmm")</f>
        <v>Jul</v>
      </c>
    </row>
    <row r="922" spans="1:12" x14ac:dyDescent="0.3">
      <c r="A922" t="s">
        <v>926</v>
      </c>
      <c r="B922" t="s">
        <v>1020</v>
      </c>
      <c r="C922">
        <v>139</v>
      </c>
      <c r="D922" t="s">
        <v>1029</v>
      </c>
      <c r="E922" t="s">
        <v>1217</v>
      </c>
      <c r="F922">
        <v>38</v>
      </c>
      <c r="G922">
        <v>4.9000000000000004</v>
      </c>
      <c r="H922">
        <f>ROUND(Calls[[#This Row],[Satisfactory Rating]],0)</f>
        <v>5</v>
      </c>
      <c r="I922" t="str" cm="1">
        <f t="array" ref="I922">_xlfn.IFS(Calls[[#This Row],[Duration (Min)]]&lt;=30,"Under 30 mins",Calls[[#This Row],[Duration (Min)]]&lt;=60,"Under 1h",Calls[[#This Row],[Duration (Min)]]&lt;=120,"Under 2",TRUE,"More than 2h")</f>
        <v>More than 2h</v>
      </c>
      <c r="J922">
        <f>IF(MONTH(Calls[[#This Row],[Date of Call]])&lt;=3,YEAR(Calls[[#This Row],[Date of Call]]),YEAR(Calls[[#This Row],[Date of Call]])+1)</f>
        <v>2026</v>
      </c>
      <c r="K922" t="str">
        <f>TEXT(Calls[[#This Row],[Date of Call]],"dddd")</f>
        <v>Friday</v>
      </c>
      <c r="L922" t="str">
        <f>TEXT(Calls[[#This Row],[Date of Call]],"mmm")</f>
        <v>Jul</v>
      </c>
    </row>
    <row r="923" spans="1:12" x14ac:dyDescent="0.3">
      <c r="A923" t="s">
        <v>927</v>
      </c>
      <c r="B923" t="s">
        <v>1014</v>
      </c>
      <c r="C923">
        <v>71</v>
      </c>
      <c r="D923" t="s">
        <v>1032</v>
      </c>
      <c r="E923" t="s">
        <v>1217</v>
      </c>
      <c r="F923">
        <v>53</v>
      </c>
      <c r="G923">
        <v>1.8</v>
      </c>
      <c r="H923">
        <f>ROUND(Calls[[#This Row],[Satisfactory Rating]],0)</f>
        <v>2</v>
      </c>
      <c r="I923" t="str" cm="1">
        <f t="array" ref="I923">_xlfn.IFS(Calls[[#This Row],[Duration (Min)]]&lt;=30,"Under 30 mins",Calls[[#This Row],[Duration (Min)]]&lt;=60,"Under 1h",Calls[[#This Row],[Duration (Min)]]&lt;=120,"Under 2",TRUE,"More than 2h")</f>
        <v>Under 2</v>
      </c>
      <c r="J923">
        <f>IF(MONTH(Calls[[#This Row],[Date of Call]])&lt;=3,YEAR(Calls[[#This Row],[Date of Call]]),YEAR(Calls[[#This Row],[Date of Call]])+1)</f>
        <v>2026</v>
      </c>
      <c r="K923" t="str">
        <f>TEXT(Calls[[#This Row],[Date of Call]],"dddd")</f>
        <v>Friday</v>
      </c>
      <c r="L923" t="str">
        <f>TEXT(Calls[[#This Row],[Date of Call]],"mmm")</f>
        <v>Jul</v>
      </c>
    </row>
    <row r="924" spans="1:12" x14ac:dyDescent="0.3">
      <c r="A924" t="s">
        <v>928</v>
      </c>
      <c r="B924" t="s">
        <v>1009</v>
      </c>
      <c r="C924">
        <v>31</v>
      </c>
      <c r="D924" t="s">
        <v>1026</v>
      </c>
      <c r="E924" t="s">
        <v>1217</v>
      </c>
      <c r="F924">
        <v>45</v>
      </c>
      <c r="G924">
        <v>2.1</v>
      </c>
      <c r="H924">
        <f>ROUND(Calls[[#This Row],[Satisfactory Rating]],0)</f>
        <v>2</v>
      </c>
      <c r="I924" t="str" cm="1">
        <f t="array" ref="I924">_xlfn.IFS(Calls[[#This Row],[Duration (Min)]]&lt;=30,"Under 30 mins",Calls[[#This Row],[Duration (Min)]]&lt;=60,"Under 1h",Calls[[#This Row],[Duration (Min)]]&lt;=120,"Under 2",TRUE,"More than 2h")</f>
        <v>Under 1h</v>
      </c>
      <c r="J924">
        <f>IF(MONTH(Calls[[#This Row],[Date of Call]])&lt;=3,YEAR(Calls[[#This Row],[Date of Call]]),YEAR(Calls[[#This Row],[Date of Call]])+1)</f>
        <v>2026</v>
      </c>
      <c r="K924" t="str">
        <f>TEXT(Calls[[#This Row],[Date of Call]],"dddd")</f>
        <v>Friday</v>
      </c>
      <c r="L924" t="str">
        <f>TEXT(Calls[[#This Row],[Date of Call]],"mmm")</f>
        <v>Jul</v>
      </c>
    </row>
    <row r="925" spans="1:12" x14ac:dyDescent="0.3">
      <c r="A925" t="s">
        <v>929</v>
      </c>
      <c r="B925" t="s">
        <v>1014</v>
      </c>
      <c r="C925">
        <v>158</v>
      </c>
      <c r="D925" t="s">
        <v>1027</v>
      </c>
      <c r="E925" t="s">
        <v>1217</v>
      </c>
      <c r="F925">
        <v>79</v>
      </c>
      <c r="G925">
        <v>1.2</v>
      </c>
      <c r="H925">
        <f>ROUND(Calls[[#This Row],[Satisfactory Rating]],0)</f>
        <v>1</v>
      </c>
      <c r="I925" t="str" cm="1">
        <f t="array" ref="I925">_xlfn.IFS(Calls[[#This Row],[Duration (Min)]]&lt;=30,"Under 30 mins",Calls[[#This Row],[Duration (Min)]]&lt;=60,"Under 1h",Calls[[#This Row],[Duration (Min)]]&lt;=120,"Under 2",TRUE,"More than 2h")</f>
        <v>More than 2h</v>
      </c>
      <c r="J925">
        <f>IF(MONTH(Calls[[#This Row],[Date of Call]])&lt;=3,YEAR(Calls[[#This Row],[Date of Call]]),YEAR(Calls[[#This Row],[Date of Call]])+1)</f>
        <v>2026</v>
      </c>
      <c r="K925" t="str">
        <f>TEXT(Calls[[#This Row],[Date of Call]],"dddd")</f>
        <v>Friday</v>
      </c>
      <c r="L925" t="str">
        <f>TEXT(Calls[[#This Row],[Date of Call]],"mmm")</f>
        <v>Jul</v>
      </c>
    </row>
    <row r="926" spans="1:12" x14ac:dyDescent="0.3">
      <c r="A926" t="s">
        <v>930</v>
      </c>
      <c r="B926" t="s">
        <v>1024</v>
      </c>
      <c r="C926">
        <v>113</v>
      </c>
      <c r="D926" t="s">
        <v>1032</v>
      </c>
      <c r="E926" t="s">
        <v>1217</v>
      </c>
      <c r="F926">
        <v>116</v>
      </c>
      <c r="G926">
        <v>2.4</v>
      </c>
      <c r="H926">
        <f>ROUND(Calls[[#This Row],[Satisfactory Rating]],0)</f>
        <v>2</v>
      </c>
      <c r="I926" t="str" cm="1">
        <f t="array" ref="I926">_xlfn.IFS(Calls[[#This Row],[Duration (Min)]]&lt;=30,"Under 30 mins",Calls[[#This Row],[Duration (Min)]]&lt;=60,"Under 1h",Calls[[#This Row],[Duration (Min)]]&lt;=120,"Under 2",TRUE,"More than 2h")</f>
        <v>Under 2</v>
      </c>
      <c r="J926">
        <f>IF(MONTH(Calls[[#This Row],[Date of Call]])&lt;=3,YEAR(Calls[[#This Row],[Date of Call]]),YEAR(Calls[[#This Row],[Date of Call]])+1)</f>
        <v>2026</v>
      </c>
      <c r="K926" t="str">
        <f>TEXT(Calls[[#This Row],[Date of Call]],"dddd")</f>
        <v>Friday</v>
      </c>
      <c r="L926" t="str">
        <f>TEXT(Calls[[#This Row],[Date of Call]],"mmm")</f>
        <v>Jul</v>
      </c>
    </row>
    <row r="927" spans="1:12" x14ac:dyDescent="0.3">
      <c r="A927" t="s">
        <v>931</v>
      </c>
      <c r="B927" t="s">
        <v>1023</v>
      </c>
      <c r="C927">
        <v>126</v>
      </c>
      <c r="D927" t="s">
        <v>1027</v>
      </c>
      <c r="E927" t="s">
        <v>1218</v>
      </c>
      <c r="F927">
        <v>114</v>
      </c>
      <c r="G927">
        <v>3.4</v>
      </c>
      <c r="H927">
        <f>ROUND(Calls[[#This Row],[Satisfactory Rating]],0)</f>
        <v>3</v>
      </c>
      <c r="I927" t="str" cm="1">
        <f t="array" ref="I927">_xlfn.IFS(Calls[[#This Row],[Duration (Min)]]&lt;=30,"Under 30 mins",Calls[[#This Row],[Duration (Min)]]&lt;=60,"Under 1h",Calls[[#This Row],[Duration (Min)]]&lt;=120,"Under 2",TRUE,"More than 2h")</f>
        <v>More than 2h</v>
      </c>
      <c r="J927">
        <f>IF(MONTH(Calls[[#This Row],[Date of Call]])&lt;=3,YEAR(Calls[[#This Row],[Date of Call]]),YEAR(Calls[[#This Row],[Date of Call]])+1)</f>
        <v>2026</v>
      </c>
      <c r="K927" t="str">
        <f>TEXT(Calls[[#This Row],[Date of Call]],"dddd")</f>
        <v>Saturday</v>
      </c>
      <c r="L927" t="str">
        <f>TEXT(Calls[[#This Row],[Date of Call]],"mmm")</f>
        <v>Jul</v>
      </c>
    </row>
    <row r="928" spans="1:12" x14ac:dyDescent="0.3">
      <c r="A928" t="s">
        <v>932</v>
      </c>
      <c r="B928" t="s">
        <v>1018</v>
      </c>
      <c r="C928">
        <v>134</v>
      </c>
      <c r="D928" t="s">
        <v>1026</v>
      </c>
      <c r="E928" t="s">
        <v>1218</v>
      </c>
      <c r="F928">
        <v>134</v>
      </c>
      <c r="G928">
        <v>2.2999999999999998</v>
      </c>
      <c r="H928">
        <f>ROUND(Calls[[#This Row],[Satisfactory Rating]],0)</f>
        <v>2</v>
      </c>
      <c r="I928" t="str" cm="1">
        <f t="array" ref="I928">_xlfn.IFS(Calls[[#This Row],[Duration (Min)]]&lt;=30,"Under 30 mins",Calls[[#This Row],[Duration (Min)]]&lt;=60,"Under 1h",Calls[[#This Row],[Duration (Min)]]&lt;=120,"Under 2",TRUE,"More than 2h")</f>
        <v>More than 2h</v>
      </c>
      <c r="J928">
        <f>IF(MONTH(Calls[[#This Row],[Date of Call]])&lt;=3,YEAR(Calls[[#This Row],[Date of Call]]),YEAR(Calls[[#This Row],[Date of Call]])+1)</f>
        <v>2026</v>
      </c>
      <c r="K928" t="str">
        <f>TEXT(Calls[[#This Row],[Date of Call]],"dddd")</f>
        <v>Saturday</v>
      </c>
      <c r="L928" t="str">
        <f>TEXT(Calls[[#This Row],[Date of Call]],"mmm")</f>
        <v>Jul</v>
      </c>
    </row>
    <row r="929" spans="1:12" x14ac:dyDescent="0.3">
      <c r="A929" t="s">
        <v>933</v>
      </c>
      <c r="B929" t="s">
        <v>1009</v>
      </c>
      <c r="C929">
        <v>103</v>
      </c>
      <c r="D929" t="s">
        <v>1029</v>
      </c>
      <c r="E929" t="s">
        <v>1218</v>
      </c>
      <c r="F929">
        <v>117</v>
      </c>
      <c r="G929">
        <v>2.2999999999999998</v>
      </c>
      <c r="H929">
        <f>ROUND(Calls[[#This Row],[Satisfactory Rating]],0)</f>
        <v>2</v>
      </c>
      <c r="I929" t="str" cm="1">
        <f t="array" ref="I929">_xlfn.IFS(Calls[[#This Row],[Duration (Min)]]&lt;=30,"Under 30 mins",Calls[[#This Row],[Duration (Min)]]&lt;=60,"Under 1h",Calls[[#This Row],[Duration (Min)]]&lt;=120,"Under 2",TRUE,"More than 2h")</f>
        <v>Under 2</v>
      </c>
      <c r="J929">
        <f>IF(MONTH(Calls[[#This Row],[Date of Call]])&lt;=3,YEAR(Calls[[#This Row],[Date of Call]]),YEAR(Calls[[#This Row],[Date of Call]])+1)</f>
        <v>2026</v>
      </c>
      <c r="K929" t="str">
        <f>TEXT(Calls[[#This Row],[Date of Call]],"dddd")</f>
        <v>Saturday</v>
      </c>
      <c r="L929" t="str">
        <f>TEXT(Calls[[#This Row],[Date of Call]],"mmm")</f>
        <v>Jul</v>
      </c>
    </row>
    <row r="930" spans="1:12" x14ac:dyDescent="0.3">
      <c r="A930" t="s">
        <v>934</v>
      </c>
      <c r="B930" t="s">
        <v>1014</v>
      </c>
      <c r="C930">
        <v>50</v>
      </c>
      <c r="D930" t="s">
        <v>1030</v>
      </c>
      <c r="E930" t="s">
        <v>1218</v>
      </c>
      <c r="F930">
        <v>110</v>
      </c>
      <c r="G930">
        <v>4.5999999999999996</v>
      </c>
      <c r="H930">
        <f>ROUND(Calls[[#This Row],[Satisfactory Rating]],0)</f>
        <v>5</v>
      </c>
      <c r="I930" t="str" cm="1">
        <f t="array" ref="I930">_xlfn.IFS(Calls[[#This Row],[Duration (Min)]]&lt;=30,"Under 30 mins",Calls[[#This Row],[Duration (Min)]]&lt;=60,"Under 1h",Calls[[#This Row],[Duration (Min)]]&lt;=120,"Under 2",TRUE,"More than 2h")</f>
        <v>Under 1h</v>
      </c>
      <c r="J930">
        <f>IF(MONTH(Calls[[#This Row],[Date of Call]])&lt;=3,YEAR(Calls[[#This Row],[Date of Call]]),YEAR(Calls[[#This Row],[Date of Call]])+1)</f>
        <v>2026</v>
      </c>
      <c r="K930" t="str">
        <f>TEXT(Calls[[#This Row],[Date of Call]],"dddd")</f>
        <v>Saturday</v>
      </c>
      <c r="L930" t="str">
        <f>TEXT(Calls[[#This Row],[Date of Call]],"mmm")</f>
        <v>Jul</v>
      </c>
    </row>
    <row r="931" spans="1:12" x14ac:dyDescent="0.3">
      <c r="A931" t="s">
        <v>935</v>
      </c>
      <c r="B931" t="s">
        <v>1020</v>
      </c>
      <c r="C931">
        <v>83</v>
      </c>
      <c r="D931" t="s">
        <v>1027</v>
      </c>
      <c r="E931" t="s">
        <v>1218</v>
      </c>
      <c r="F931">
        <v>130</v>
      </c>
      <c r="G931">
        <v>2.2999999999999998</v>
      </c>
      <c r="H931">
        <f>ROUND(Calls[[#This Row],[Satisfactory Rating]],0)</f>
        <v>2</v>
      </c>
      <c r="I931" t="str" cm="1">
        <f t="array" ref="I931">_xlfn.IFS(Calls[[#This Row],[Duration (Min)]]&lt;=30,"Under 30 mins",Calls[[#This Row],[Duration (Min)]]&lt;=60,"Under 1h",Calls[[#This Row],[Duration (Min)]]&lt;=120,"Under 2",TRUE,"More than 2h")</f>
        <v>Under 2</v>
      </c>
      <c r="J931">
        <f>IF(MONTH(Calls[[#This Row],[Date of Call]])&lt;=3,YEAR(Calls[[#This Row],[Date of Call]]),YEAR(Calls[[#This Row],[Date of Call]])+1)</f>
        <v>2026</v>
      </c>
      <c r="K931" t="str">
        <f>TEXT(Calls[[#This Row],[Date of Call]],"dddd")</f>
        <v>Saturday</v>
      </c>
      <c r="L931" t="str">
        <f>TEXT(Calls[[#This Row],[Date of Call]],"mmm")</f>
        <v>Jul</v>
      </c>
    </row>
    <row r="932" spans="1:12" x14ac:dyDescent="0.3">
      <c r="A932" t="s">
        <v>936</v>
      </c>
      <c r="B932" t="s">
        <v>1015</v>
      </c>
      <c r="C932">
        <v>65</v>
      </c>
      <c r="D932" t="s">
        <v>1032</v>
      </c>
      <c r="E932" t="s">
        <v>1219</v>
      </c>
      <c r="F932">
        <v>134</v>
      </c>
      <c r="G932">
        <v>3.3</v>
      </c>
      <c r="H932">
        <f>ROUND(Calls[[#This Row],[Satisfactory Rating]],0)</f>
        <v>3</v>
      </c>
      <c r="I932" t="str" cm="1">
        <f t="array" ref="I932">_xlfn.IFS(Calls[[#This Row],[Duration (Min)]]&lt;=30,"Under 30 mins",Calls[[#This Row],[Duration (Min)]]&lt;=60,"Under 1h",Calls[[#This Row],[Duration (Min)]]&lt;=120,"Under 2",TRUE,"More than 2h")</f>
        <v>Under 2</v>
      </c>
      <c r="J932">
        <f>IF(MONTH(Calls[[#This Row],[Date of Call]])&lt;=3,YEAR(Calls[[#This Row],[Date of Call]]),YEAR(Calls[[#This Row],[Date of Call]])+1)</f>
        <v>2026</v>
      </c>
      <c r="K932" t="str">
        <f>TEXT(Calls[[#This Row],[Date of Call]],"dddd")</f>
        <v>Sunday</v>
      </c>
      <c r="L932" t="str">
        <f>TEXT(Calls[[#This Row],[Date of Call]],"mmm")</f>
        <v>Jul</v>
      </c>
    </row>
    <row r="933" spans="1:12" x14ac:dyDescent="0.3">
      <c r="A933" t="s">
        <v>937</v>
      </c>
      <c r="B933" t="s">
        <v>1017</v>
      </c>
      <c r="C933">
        <v>19</v>
      </c>
      <c r="D933" t="s">
        <v>1031</v>
      </c>
      <c r="E933" t="s">
        <v>1219</v>
      </c>
      <c r="F933">
        <v>102</v>
      </c>
      <c r="G933">
        <v>2.6</v>
      </c>
      <c r="H933">
        <f>ROUND(Calls[[#This Row],[Satisfactory Rating]],0)</f>
        <v>3</v>
      </c>
      <c r="I933" t="str" cm="1">
        <f t="array" ref="I933">_xlfn.IFS(Calls[[#This Row],[Duration (Min)]]&lt;=30,"Under 30 mins",Calls[[#This Row],[Duration (Min)]]&lt;=60,"Under 1h",Calls[[#This Row],[Duration (Min)]]&lt;=120,"Under 2",TRUE,"More than 2h")</f>
        <v>Under 30 mins</v>
      </c>
      <c r="J933">
        <f>IF(MONTH(Calls[[#This Row],[Date of Call]])&lt;=3,YEAR(Calls[[#This Row],[Date of Call]]),YEAR(Calls[[#This Row],[Date of Call]])+1)</f>
        <v>2026</v>
      </c>
      <c r="K933" t="str">
        <f>TEXT(Calls[[#This Row],[Date of Call]],"dddd")</f>
        <v>Sunday</v>
      </c>
      <c r="L933" t="str">
        <f>TEXT(Calls[[#This Row],[Date of Call]],"mmm")</f>
        <v>Jul</v>
      </c>
    </row>
    <row r="934" spans="1:12" x14ac:dyDescent="0.3">
      <c r="A934" t="s">
        <v>938</v>
      </c>
      <c r="B934" t="s">
        <v>1017</v>
      </c>
      <c r="C934">
        <v>74</v>
      </c>
      <c r="D934" t="s">
        <v>1026</v>
      </c>
      <c r="E934" t="s">
        <v>1219</v>
      </c>
      <c r="F934">
        <v>114</v>
      </c>
      <c r="G934">
        <v>4.8</v>
      </c>
      <c r="H934">
        <f>ROUND(Calls[[#This Row],[Satisfactory Rating]],0)</f>
        <v>5</v>
      </c>
      <c r="I934" t="str" cm="1">
        <f t="array" ref="I934">_xlfn.IFS(Calls[[#This Row],[Duration (Min)]]&lt;=30,"Under 30 mins",Calls[[#This Row],[Duration (Min)]]&lt;=60,"Under 1h",Calls[[#This Row],[Duration (Min)]]&lt;=120,"Under 2",TRUE,"More than 2h")</f>
        <v>Under 2</v>
      </c>
      <c r="J934">
        <f>IF(MONTH(Calls[[#This Row],[Date of Call]])&lt;=3,YEAR(Calls[[#This Row],[Date of Call]]),YEAR(Calls[[#This Row],[Date of Call]])+1)</f>
        <v>2026</v>
      </c>
      <c r="K934" t="str">
        <f>TEXT(Calls[[#This Row],[Date of Call]],"dddd")</f>
        <v>Sunday</v>
      </c>
      <c r="L934" t="str">
        <f>TEXT(Calls[[#This Row],[Date of Call]],"mmm")</f>
        <v>Jul</v>
      </c>
    </row>
    <row r="935" spans="1:12" x14ac:dyDescent="0.3">
      <c r="A935" t="s">
        <v>939</v>
      </c>
      <c r="B935" t="s">
        <v>1019</v>
      </c>
      <c r="C935">
        <v>46</v>
      </c>
      <c r="D935" t="s">
        <v>1031</v>
      </c>
      <c r="E935" t="s">
        <v>1219</v>
      </c>
      <c r="F935">
        <v>43</v>
      </c>
      <c r="G935">
        <v>3.5</v>
      </c>
      <c r="H935">
        <f>ROUND(Calls[[#This Row],[Satisfactory Rating]],0)</f>
        <v>4</v>
      </c>
      <c r="I935" t="str" cm="1">
        <f t="array" ref="I935">_xlfn.IFS(Calls[[#This Row],[Duration (Min)]]&lt;=30,"Under 30 mins",Calls[[#This Row],[Duration (Min)]]&lt;=60,"Under 1h",Calls[[#This Row],[Duration (Min)]]&lt;=120,"Under 2",TRUE,"More than 2h")</f>
        <v>Under 1h</v>
      </c>
      <c r="J935">
        <f>IF(MONTH(Calls[[#This Row],[Date of Call]])&lt;=3,YEAR(Calls[[#This Row],[Date of Call]]),YEAR(Calls[[#This Row],[Date of Call]])+1)</f>
        <v>2026</v>
      </c>
      <c r="K935" t="str">
        <f>TEXT(Calls[[#This Row],[Date of Call]],"dddd")</f>
        <v>Sunday</v>
      </c>
      <c r="L935" t="str">
        <f>TEXT(Calls[[#This Row],[Date of Call]],"mmm")</f>
        <v>Jul</v>
      </c>
    </row>
    <row r="936" spans="1:12" x14ac:dyDescent="0.3">
      <c r="A936" t="s">
        <v>940</v>
      </c>
      <c r="B936" t="s">
        <v>1017</v>
      </c>
      <c r="C936">
        <v>13</v>
      </c>
      <c r="D936" t="s">
        <v>1028</v>
      </c>
      <c r="E936" t="s">
        <v>1219</v>
      </c>
      <c r="F936">
        <v>98</v>
      </c>
      <c r="G936">
        <v>2.2999999999999998</v>
      </c>
      <c r="H936">
        <f>ROUND(Calls[[#This Row],[Satisfactory Rating]],0)</f>
        <v>2</v>
      </c>
      <c r="I936" t="str" cm="1">
        <f t="array" ref="I936">_xlfn.IFS(Calls[[#This Row],[Duration (Min)]]&lt;=30,"Under 30 mins",Calls[[#This Row],[Duration (Min)]]&lt;=60,"Under 1h",Calls[[#This Row],[Duration (Min)]]&lt;=120,"Under 2",TRUE,"More than 2h")</f>
        <v>Under 30 mins</v>
      </c>
      <c r="J936">
        <f>IF(MONTH(Calls[[#This Row],[Date of Call]])&lt;=3,YEAR(Calls[[#This Row],[Date of Call]]),YEAR(Calls[[#This Row],[Date of Call]])+1)</f>
        <v>2026</v>
      </c>
      <c r="K936" t="str">
        <f>TEXT(Calls[[#This Row],[Date of Call]],"dddd")</f>
        <v>Sunday</v>
      </c>
      <c r="L936" t="str">
        <f>TEXT(Calls[[#This Row],[Date of Call]],"mmm")</f>
        <v>Jul</v>
      </c>
    </row>
    <row r="937" spans="1:12" x14ac:dyDescent="0.3">
      <c r="A937" t="s">
        <v>941</v>
      </c>
      <c r="B937" t="s">
        <v>1010</v>
      </c>
      <c r="C937">
        <v>38</v>
      </c>
      <c r="D937" t="s">
        <v>1032</v>
      </c>
      <c r="E937" t="s">
        <v>1220</v>
      </c>
      <c r="F937">
        <v>96</v>
      </c>
      <c r="G937">
        <v>4.2</v>
      </c>
      <c r="H937">
        <f>ROUND(Calls[[#This Row],[Satisfactory Rating]],0)</f>
        <v>4</v>
      </c>
      <c r="I937" t="str" cm="1">
        <f t="array" ref="I937">_xlfn.IFS(Calls[[#This Row],[Duration (Min)]]&lt;=30,"Under 30 mins",Calls[[#This Row],[Duration (Min)]]&lt;=60,"Under 1h",Calls[[#This Row],[Duration (Min)]]&lt;=120,"Under 2",TRUE,"More than 2h")</f>
        <v>Under 1h</v>
      </c>
      <c r="J937">
        <f>IF(MONTH(Calls[[#This Row],[Date of Call]])&lt;=3,YEAR(Calls[[#This Row],[Date of Call]]),YEAR(Calls[[#This Row],[Date of Call]])+1)</f>
        <v>2026</v>
      </c>
      <c r="K937" t="str">
        <f>TEXT(Calls[[#This Row],[Date of Call]],"dddd")</f>
        <v>Monday</v>
      </c>
      <c r="L937" t="str">
        <f>TEXT(Calls[[#This Row],[Date of Call]],"mmm")</f>
        <v>Jul</v>
      </c>
    </row>
    <row r="938" spans="1:12" x14ac:dyDescent="0.3">
      <c r="A938" t="s">
        <v>942</v>
      </c>
      <c r="B938" t="s">
        <v>1011</v>
      </c>
      <c r="C938">
        <v>27</v>
      </c>
      <c r="D938" t="s">
        <v>1027</v>
      </c>
      <c r="E938" t="s">
        <v>1220</v>
      </c>
      <c r="F938">
        <v>107</v>
      </c>
      <c r="G938">
        <v>4.4000000000000004</v>
      </c>
      <c r="H938">
        <f>ROUND(Calls[[#This Row],[Satisfactory Rating]],0)</f>
        <v>4</v>
      </c>
      <c r="I938" t="str" cm="1">
        <f t="array" ref="I938">_xlfn.IFS(Calls[[#This Row],[Duration (Min)]]&lt;=30,"Under 30 mins",Calls[[#This Row],[Duration (Min)]]&lt;=60,"Under 1h",Calls[[#This Row],[Duration (Min)]]&lt;=120,"Under 2",TRUE,"More than 2h")</f>
        <v>Under 30 mins</v>
      </c>
      <c r="J938">
        <f>IF(MONTH(Calls[[#This Row],[Date of Call]])&lt;=3,YEAR(Calls[[#This Row],[Date of Call]]),YEAR(Calls[[#This Row],[Date of Call]])+1)</f>
        <v>2026</v>
      </c>
      <c r="K938" t="str">
        <f>TEXT(Calls[[#This Row],[Date of Call]],"dddd")</f>
        <v>Monday</v>
      </c>
      <c r="L938" t="str">
        <f>TEXT(Calls[[#This Row],[Date of Call]],"mmm")</f>
        <v>Jul</v>
      </c>
    </row>
    <row r="939" spans="1:12" x14ac:dyDescent="0.3">
      <c r="A939" t="s">
        <v>943</v>
      </c>
      <c r="B939" t="s">
        <v>1018</v>
      </c>
      <c r="C939">
        <v>154</v>
      </c>
      <c r="D939" t="s">
        <v>1026</v>
      </c>
      <c r="E939" t="s">
        <v>1220</v>
      </c>
      <c r="F939">
        <v>116</v>
      </c>
      <c r="G939">
        <v>4.7</v>
      </c>
      <c r="H939">
        <f>ROUND(Calls[[#This Row],[Satisfactory Rating]],0)</f>
        <v>5</v>
      </c>
      <c r="I939" t="str" cm="1">
        <f t="array" ref="I939">_xlfn.IFS(Calls[[#This Row],[Duration (Min)]]&lt;=30,"Under 30 mins",Calls[[#This Row],[Duration (Min)]]&lt;=60,"Under 1h",Calls[[#This Row],[Duration (Min)]]&lt;=120,"Under 2",TRUE,"More than 2h")</f>
        <v>More than 2h</v>
      </c>
      <c r="J939">
        <f>IF(MONTH(Calls[[#This Row],[Date of Call]])&lt;=3,YEAR(Calls[[#This Row],[Date of Call]]),YEAR(Calls[[#This Row],[Date of Call]])+1)</f>
        <v>2026</v>
      </c>
      <c r="K939" t="str">
        <f>TEXT(Calls[[#This Row],[Date of Call]],"dddd")</f>
        <v>Monday</v>
      </c>
      <c r="L939" t="str">
        <f>TEXT(Calls[[#This Row],[Date of Call]],"mmm")</f>
        <v>Jul</v>
      </c>
    </row>
    <row r="940" spans="1:12" x14ac:dyDescent="0.3">
      <c r="A940" t="s">
        <v>944</v>
      </c>
      <c r="B940" t="s">
        <v>1006</v>
      </c>
      <c r="C940">
        <v>64</v>
      </c>
      <c r="D940" t="s">
        <v>1026</v>
      </c>
      <c r="E940" t="s">
        <v>1220</v>
      </c>
      <c r="F940">
        <v>130</v>
      </c>
      <c r="G940">
        <v>2.2999999999999998</v>
      </c>
      <c r="H940">
        <f>ROUND(Calls[[#This Row],[Satisfactory Rating]],0)</f>
        <v>2</v>
      </c>
      <c r="I940" t="str" cm="1">
        <f t="array" ref="I940">_xlfn.IFS(Calls[[#This Row],[Duration (Min)]]&lt;=30,"Under 30 mins",Calls[[#This Row],[Duration (Min)]]&lt;=60,"Under 1h",Calls[[#This Row],[Duration (Min)]]&lt;=120,"Under 2",TRUE,"More than 2h")</f>
        <v>Under 2</v>
      </c>
      <c r="J940">
        <f>IF(MONTH(Calls[[#This Row],[Date of Call]])&lt;=3,YEAR(Calls[[#This Row],[Date of Call]]),YEAR(Calls[[#This Row],[Date of Call]])+1)</f>
        <v>2026</v>
      </c>
      <c r="K940" t="str">
        <f>TEXT(Calls[[#This Row],[Date of Call]],"dddd")</f>
        <v>Monday</v>
      </c>
      <c r="L940" t="str">
        <f>TEXT(Calls[[#This Row],[Date of Call]],"mmm")</f>
        <v>Jul</v>
      </c>
    </row>
    <row r="941" spans="1:12" x14ac:dyDescent="0.3">
      <c r="A941" t="s">
        <v>945</v>
      </c>
      <c r="B941" t="s">
        <v>1020</v>
      </c>
      <c r="C941">
        <v>94</v>
      </c>
      <c r="D941" t="s">
        <v>1028</v>
      </c>
      <c r="E941" t="s">
        <v>1220</v>
      </c>
      <c r="F941">
        <v>93</v>
      </c>
      <c r="G941">
        <v>4.0999999999999996</v>
      </c>
      <c r="H941">
        <f>ROUND(Calls[[#This Row],[Satisfactory Rating]],0)</f>
        <v>4</v>
      </c>
      <c r="I941" t="str" cm="1">
        <f t="array" ref="I941">_xlfn.IFS(Calls[[#This Row],[Duration (Min)]]&lt;=30,"Under 30 mins",Calls[[#This Row],[Duration (Min)]]&lt;=60,"Under 1h",Calls[[#This Row],[Duration (Min)]]&lt;=120,"Under 2",TRUE,"More than 2h")</f>
        <v>Under 2</v>
      </c>
      <c r="J941">
        <f>IF(MONTH(Calls[[#This Row],[Date of Call]])&lt;=3,YEAR(Calls[[#This Row],[Date of Call]]),YEAR(Calls[[#This Row],[Date of Call]])+1)</f>
        <v>2026</v>
      </c>
      <c r="K941" t="str">
        <f>TEXT(Calls[[#This Row],[Date of Call]],"dddd")</f>
        <v>Monday</v>
      </c>
      <c r="L941" t="str">
        <f>TEXT(Calls[[#This Row],[Date of Call]],"mmm")</f>
        <v>Jul</v>
      </c>
    </row>
    <row r="942" spans="1:12" x14ac:dyDescent="0.3">
      <c r="A942" t="s">
        <v>946</v>
      </c>
      <c r="B942" t="s">
        <v>1013</v>
      </c>
      <c r="C942">
        <v>121</v>
      </c>
      <c r="D942" t="s">
        <v>1027</v>
      </c>
      <c r="E942" t="s">
        <v>1221</v>
      </c>
      <c r="F942">
        <v>135</v>
      </c>
      <c r="G942">
        <v>4.4000000000000004</v>
      </c>
      <c r="H942">
        <f>ROUND(Calls[[#This Row],[Satisfactory Rating]],0)</f>
        <v>4</v>
      </c>
      <c r="I942" t="str" cm="1">
        <f t="array" ref="I942">_xlfn.IFS(Calls[[#This Row],[Duration (Min)]]&lt;=30,"Under 30 mins",Calls[[#This Row],[Duration (Min)]]&lt;=60,"Under 1h",Calls[[#This Row],[Duration (Min)]]&lt;=120,"Under 2",TRUE,"More than 2h")</f>
        <v>More than 2h</v>
      </c>
      <c r="J942">
        <f>IF(MONTH(Calls[[#This Row],[Date of Call]])&lt;=3,YEAR(Calls[[#This Row],[Date of Call]]),YEAR(Calls[[#This Row],[Date of Call]])+1)</f>
        <v>2026</v>
      </c>
      <c r="K942" t="str">
        <f>TEXT(Calls[[#This Row],[Date of Call]],"dddd")</f>
        <v>Tuesday</v>
      </c>
      <c r="L942" t="str">
        <f>TEXT(Calls[[#This Row],[Date of Call]],"mmm")</f>
        <v>Jul</v>
      </c>
    </row>
    <row r="943" spans="1:12" x14ac:dyDescent="0.3">
      <c r="A943" t="s">
        <v>947</v>
      </c>
      <c r="B943" t="s">
        <v>1023</v>
      </c>
      <c r="C943">
        <v>119</v>
      </c>
      <c r="D943" t="s">
        <v>1031</v>
      </c>
      <c r="E943" t="s">
        <v>1221</v>
      </c>
      <c r="F943">
        <v>98</v>
      </c>
      <c r="G943">
        <v>1</v>
      </c>
      <c r="H943">
        <f>ROUND(Calls[[#This Row],[Satisfactory Rating]],0)</f>
        <v>1</v>
      </c>
      <c r="I943" t="str" cm="1">
        <f t="array" ref="I943">_xlfn.IFS(Calls[[#This Row],[Duration (Min)]]&lt;=30,"Under 30 mins",Calls[[#This Row],[Duration (Min)]]&lt;=60,"Under 1h",Calls[[#This Row],[Duration (Min)]]&lt;=120,"Under 2",TRUE,"More than 2h")</f>
        <v>Under 2</v>
      </c>
      <c r="J943">
        <f>IF(MONTH(Calls[[#This Row],[Date of Call]])&lt;=3,YEAR(Calls[[#This Row],[Date of Call]]),YEAR(Calls[[#This Row],[Date of Call]])+1)</f>
        <v>2026</v>
      </c>
      <c r="K943" t="str">
        <f>TEXT(Calls[[#This Row],[Date of Call]],"dddd")</f>
        <v>Tuesday</v>
      </c>
      <c r="L943" t="str">
        <f>TEXT(Calls[[#This Row],[Date of Call]],"mmm")</f>
        <v>Jul</v>
      </c>
    </row>
    <row r="944" spans="1:12" x14ac:dyDescent="0.3">
      <c r="A944" t="s">
        <v>948</v>
      </c>
      <c r="B944" t="s">
        <v>1019</v>
      </c>
      <c r="C944">
        <v>121</v>
      </c>
      <c r="D944" t="s">
        <v>1028</v>
      </c>
      <c r="E944" t="s">
        <v>1221</v>
      </c>
      <c r="F944">
        <v>113</v>
      </c>
      <c r="G944">
        <v>2.5</v>
      </c>
      <c r="H944">
        <f>ROUND(Calls[[#This Row],[Satisfactory Rating]],0)</f>
        <v>3</v>
      </c>
      <c r="I944" t="str" cm="1">
        <f t="array" ref="I944">_xlfn.IFS(Calls[[#This Row],[Duration (Min)]]&lt;=30,"Under 30 mins",Calls[[#This Row],[Duration (Min)]]&lt;=60,"Under 1h",Calls[[#This Row],[Duration (Min)]]&lt;=120,"Under 2",TRUE,"More than 2h")</f>
        <v>More than 2h</v>
      </c>
      <c r="J944">
        <f>IF(MONTH(Calls[[#This Row],[Date of Call]])&lt;=3,YEAR(Calls[[#This Row],[Date of Call]]),YEAR(Calls[[#This Row],[Date of Call]])+1)</f>
        <v>2026</v>
      </c>
      <c r="K944" t="str">
        <f>TEXT(Calls[[#This Row],[Date of Call]],"dddd")</f>
        <v>Tuesday</v>
      </c>
      <c r="L944" t="str">
        <f>TEXT(Calls[[#This Row],[Date of Call]],"mmm")</f>
        <v>Jul</v>
      </c>
    </row>
    <row r="945" spans="1:12" x14ac:dyDescent="0.3">
      <c r="A945" t="s">
        <v>949</v>
      </c>
      <c r="B945" t="s">
        <v>1009</v>
      </c>
      <c r="C945">
        <v>48</v>
      </c>
      <c r="D945" t="s">
        <v>1030</v>
      </c>
      <c r="E945" t="s">
        <v>1221</v>
      </c>
      <c r="F945">
        <v>43</v>
      </c>
      <c r="G945">
        <v>3.1</v>
      </c>
      <c r="H945">
        <f>ROUND(Calls[[#This Row],[Satisfactory Rating]],0)</f>
        <v>3</v>
      </c>
      <c r="I945" t="str" cm="1">
        <f t="array" ref="I945">_xlfn.IFS(Calls[[#This Row],[Duration (Min)]]&lt;=30,"Under 30 mins",Calls[[#This Row],[Duration (Min)]]&lt;=60,"Under 1h",Calls[[#This Row],[Duration (Min)]]&lt;=120,"Under 2",TRUE,"More than 2h")</f>
        <v>Under 1h</v>
      </c>
      <c r="J945">
        <f>IF(MONTH(Calls[[#This Row],[Date of Call]])&lt;=3,YEAR(Calls[[#This Row],[Date of Call]]),YEAR(Calls[[#This Row],[Date of Call]])+1)</f>
        <v>2026</v>
      </c>
      <c r="K945" t="str">
        <f>TEXT(Calls[[#This Row],[Date of Call]],"dddd")</f>
        <v>Tuesday</v>
      </c>
      <c r="L945" t="str">
        <f>TEXT(Calls[[#This Row],[Date of Call]],"mmm")</f>
        <v>Jul</v>
      </c>
    </row>
    <row r="946" spans="1:12" x14ac:dyDescent="0.3">
      <c r="A946" t="s">
        <v>950</v>
      </c>
      <c r="B946" t="s">
        <v>1020</v>
      </c>
      <c r="C946">
        <v>99</v>
      </c>
      <c r="D946" t="s">
        <v>1029</v>
      </c>
      <c r="E946" t="s">
        <v>1221</v>
      </c>
      <c r="F946">
        <v>119</v>
      </c>
      <c r="G946">
        <v>1.8</v>
      </c>
      <c r="H946">
        <f>ROUND(Calls[[#This Row],[Satisfactory Rating]],0)</f>
        <v>2</v>
      </c>
      <c r="I946" t="str" cm="1">
        <f t="array" ref="I946">_xlfn.IFS(Calls[[#This Row],[Duration (Min)]]&lt;=30,"Under 30 mins",Calls[[#This Row],[Duration (Min)]]&lt;=60,"Under 1h",Calls[[#This Row],[Duration (Min)]]&lt;=120,"Under 2",TRUE,"More than 2h")</f>
        <v>Under 2</v>
      </c>
      <c r="J946">
        <f>IF(MONTH(Calls[[#This Row],[Date of Call]])&lt;=3,YEAR(Calls[[#This Row],[Date of Call]]),YEAR(Calls[[#This Row],[Date of Call]])+1)</f>
        <v>2026</v>
      </c>
      <c r="K946" t="str">
        <f>TEXT(Calls[[#This Row],[Date of Call]],"dddd")</f>
        <v>Tuesday</v>
      </c>
      <c r="L946" t="str">
        <f>TEXT(Calls[[#This Row],[Date of Call]],"mmm")</f>
        <v>Jul</v>
      </c>
    </row>
    <row r="947" spans="1:12" x14ac:dyDescent="0.3">
      <c r="A947" t="s">
        <v>951</v>
      </c>
      <c r="B947" t="s">
        <v>1008</v>
      </c>
      <c r="C947">
        <v>110</v>
      </c>
      <c r="D947" t="s">
        <v>1028</v>
      </c>
      <c r="E947" t="s">
        <v>1222</v>
      </c>
      <c r="F947">
        <v>27</v>
      </c>
      <c r="G947">
        <v>4</v>
      </c>
      <c r="H947">
        <f>ROUND(Calls[[#This Row],[Satisfactory Rating]],0)</f>
        <v>4</v>
      </c>
      <c r="I947" t="str" cm="1">
        <f t="array" ref="I947">_xlfn.IFS(Calls[[#This Row],[Duration (Min)]]&lt;=30,"Under 30 mins",Calls[[#This Row],[Duration (Min)]]&lt;=60,"Under 1h",Calls[[#This Row],[Duration (Min)]]&lt;=120,"Under 2",TRUE,"More than 2h")</f>
        <v>Under 2</v>
      </c>
      <c r="J947">
        <f>IF(MONTH(Calls[[#This Row],[Date of Call]])&lt;=3,YEAR(Calls[[#This Row],[Date of Call]]),YEAR(Calls[[#This Row],[Date of Call]])+1)</f>
        <v>2026</v>
      </c>
      <c r="K947" t="str">
        <f>TEXT(Calls[[#This Row],[Date of Call]],"dddd")</f>
        <v>Wednesday</v>
      </c>
      <c r="L947" t="str">
        <f>TEXT(Calls[[#This Row],[Date of Call]],"mmm")</f>
        <v>Jul</v>
      </c>
    </row>
    <row r="948" spans="1:12" x14ac:dyDescent="0.3">
      <c r="A948" t="s">
        <v>952</v>
      </c>
      <c r="B948" t="s">
        <v>1012</v>
      </c>
      <c r="C948">
        <v>80</v>
      </c>
      <c r="D948" t="s">
        <v>1026</v>
      </c>
      <c r="E948" t="s">
        <v>1222</v>
      </c>
      <c r="F948">
        <v>20</v>
      </c>
      <c r="G948">
        <v>2.8</v>
      </c>
      <c r="H948">
        <f>ROUND(Calls[[#This Row],[Satisfactory Rating]],0)</f>
        <v>3</v>
      </c>
      <c r="I948" t="str" cm="1">
        <f t="array" ref="I948">_xlfn.IFS(Calls[[#This Row],[Duration (Min)]]&lt;=30,"Under 30 mins",Calls[[#This Row],[Duration (Min)]]&lt;=60,"Under 1h",Calls[[#This Row],[Duration (Min)]]&lt;=120,"Under 2",TRUE,"More than 2h")</f>
        <v>Under 2</v>
      </c>
      <c r="J948">
        <f>IF(MONTH(Calls[[#This Row],[Date of Call]])&lt;=3,YEAR(Calls[[#This Row],[Date of Call]]),YEAR(Calls[[#This Row],[Date of Call]])+1)</f>
        <v>2026</v>
      </c>
      <c r="K948" t="str">
        <f>TEXT(Calls[[#This Row],[Date of Call]],"dddd")</f>
        <v>Wednesday</v>
      </c>
      <c r="L948" t="str">
        <f>TEXT(Calls[[#This Row],[Date of Call]],"mmm")</f>
        <v>Jul</v>
      </c>
    </row>
    <row r="949" spans="1:12" x14ac:dyDescent="0.3">
      <c r="A949" t="s">
        <v>953</v>
      </c>
      <c r="B949" t="s">
        <v>1020</v>
      </c>
      <c r="C949">
        <v>72</v>
      </c>
      <c r="D949" t="s">
        <v>1032</v>
      </c>
      <c r="E949" t="s">
        <v>1222</v>
      </c>
      <c r="F949">
        <v>45</v>
      </c>
      <c r="G949">
        <v>4.4000000000000004</v>
      </c>
      <c r="H949">
        <f>ROUND(Calls[[#This Row],[Satisfactory Rating]],0)</f>
        <v>4</v>
      </c>
      <c r="I949" t="str" cm="1">
        <f t="array" ref="I949">_xlfn.IFS(Calls[[#This Row],[Duration (Min)]]&lt;=30,"Under 30 mins",Calls[[#This Row],[Duration (Min)]]&lt;=60,"Under 1h",Calls[[#This Row],[Duration (Min)]]&lt;=120,"Under 2",TRUE,"More than 2h")</f>
        <v>Under 2</v>
      </c>
      <c r="J949">
        <f>IF(MONTH(Calls[[#This Row],[Date of Call]])&lt;=3,YEAR(Calls[[#This Row],[Date of Call]]),YEAR(Calls[[#This Row],[Date of Call]])+1)</f>
        <v>2026</v>
      </c>
      <c r="K949" t="str">
        <f>TEXT(Calls[[#This Row],[Date of Call]],"dddd")</f>
        <v>Wednesday</v>
      </c>
      <c r="L949" t="str">
        <f>TEXT(Calls[[#This Row],[Date of Call]],"mmm")</f>
        <v>Jul</v>
      </c>
    </row>
    <row r="950" spans="1:12" x14ac:dyDescent="0.3">
      <c r="A950" t="s">
        <v>954</v>
      </c>
      <c r="B950" t="s">
        <v>1014</v>
      </c>
      <c r="C950">
        <v>104</v>
      </c>
      <c r="D950" t="s">
        <v>1031</v>
      </c>
      <c r="E950" t="s">
        <v>1222</v>
      </c>
      <c r="F950">
        <v>107</v>
      </c>
      <c r="G950">
        <v>4.7</v>
      </c>
      <c r="H950">
        <f>ROUND(Calls[[#This Row],[Satisfactory Rating]],0)</f>
        <v>5</v>
      </c>
      <c r="I950" t="str" cm="1">
        <f t="array" ref="I950">_xlfn.IFS(Calls[[#This Row],[Duration (Min)]]&lt;=30,"Under 30 mins",Calls[[#This Row],[Duration (Min)]]&lt;=60,"Under 1h",Calls[[#This Row],[Duration (Min)]]&lt;=120,"Under 2",TRUE,"More than 2h")</f>
        <v>Under 2</v>
      </c>
      <c r="J950">
        <f>IF(MONTH(Calls[[#This Row],[Date of Call]])&lt;=3,YEAR(Calls[[#This Row],[Date of Call]]),YEAR(Calls[[#This Row],[Date of Call]])+1)</f>
        <v>2026</v>
      </c>
      <c r="K950" t="str">
        <f>TEXT(Calls[[#This Row],[Date of Call]],"dddd")</f>
        <v>Wednesday</v>
      </c>
      <c r="L950" t="str">
        <f>TEXT(Calls[[#This Row],[Date of Call]],"mmm")</f>
        <v>Jul</v>
      </c>
    </row>
    <row r="951" spans="1:12" x14ac:dyDescent="0.3">
      <c r="A951" t="s">
        <v>955</v>
      </c>
      <c r="B951" t="s">
        <v>1025</v>
      </c>
      <c r="C951">
        <v>92</v>
      </c>
      <c r="D951" t="s">
        <v>1028</v>
      </c>
      <c r="E951" t="s">
        <v>1222</v>
      </c>
      <c r="F951">
        <v>88</v>
      </c>
      <c r="G951">
        <v>2.2999999999999998</v>
      </c>
      <c r="H951">
        <f>ROUND(Calls[[#This Row],[Satisfactory Rating]],0)</f>
        <v>2</v>
      </c>
      <c r="I951" t="str" cm="1">
        <f t="array" ref="I951">_xlfn.IFS(Calls[[#This Row],[Duration (Min)]]&lt;=30,"Under 30 mins",Calls[[#This Row],[Duration (Min)]]&lt;=60,"Under 1h",Calls[[#This Row],[Duration (Min)]]&lt;=120,"Under 2",TRUE,"More than 2h")</f>
        <v>Under 2</v>
      </c>
      <c r="J951">
        <f>IF(MONTH(Calls[[#This Row],[Date of Call]])&lt;=3,YEAR(Calls[[#This Row],[Date of Call]]),YEAR(Calls[[#This Row],[Date of Call]])+1)</f>
        <v>2026</v>
      </c>
      <c r="K951" t="str">
        <f>TEXT(Calls[[#This Row],[Date of Call]],"dddd")</f>
        <v>Wednesday</v>
      </c>
      <c r="L951" t="str">
        <f>TEXT(Calls[[#This Row],[Date of Call]],"mmm")</f>
        <v>Jul</v>
      </c>
    </row>
    <row r="952" spans="1:12" x14ac:dyDescent="0.3">
      <c r="A952" t="s">
        <v>956</v>
      </c>
      <c r="B952" t="s">
        <v>1021</v>
      </c>
      <c r="C952">
        <v>69</v>
      </c>
      <c r="D952" t="s">
        <v>1029</v>
      </c>
      <c r="E952" t="s">
        <v>1223</v>
      </c>
      <c r="F952">
        <v>119</v>
      </c>
      <c r="G952">
        <v>4</v>
      </c>
      <c r="H952">
        <f>ROUND(Calls[[#This Row],[Satisfactory Rating]],0)</f>
        <v>4</v>
      </c>
      <c r="I952" t="str" cm="1">
        <f t="array" ref="I952">_xlfn.IFS(Calls[[#This Row],[Duration (Min)]]&lt;=30,"Under 30 mins",Calls[[#This Row],[Duration (Min)]]&lt;=60,"Under 1h",Calls[[#This Row],[Duration (Min)]]&lt;=120,"Under 2",TRUE,"More than 2h")</f>
        <v>Under 2</v>
      </c>
      <c r="J952">
        <f>IF(MONTH(Calls[[#This Row],[Date of Call]])&lt;=3,YEAR(Calls[[#This Row],[Date of Call]]),YEAR(Calls[[#This Row],[Date of Call]])+1)</f>
        <v>2026</v>
      </c>
      <c r="K952" t="str">
        <f>TEXT(Calls[[#This Row],[Date of Call]],"dddd")</f>
        <v>Thursday</v>
      </c>
      <c r="L952" t="str">
        <f>TEXT(Calls[[#This Row],[Date of Call]],"mmm")</f>
        <v>Jul</v>
      </c>
    </row>
    <row r="953" spans="1:12" x14ac:dyDescent="0.3">
      <c r="A953" t="s">
        <v>957</v>
      </c>
      <c r="B953" t="s">
        <v>1017</v>
      </c>
      <c r="C953">
        <v>31</v>
      </c>
      <c r="D953" t="s">
        <v>1028</v>
      </c>
      <c r="E953" t="s">
        <v>1223</v>
      </c>
      <c r="F953">
        <v>134</v>
      </c>
      <c r="G953">
        <v>3.4</v>
      </c>
      <c r="H953">
        <f>ROUND(Calls[[#This Row],[Satisfactory Rating]],0)</f>
        <v>3</v>
      </c>
      <c r="I953" t="str" cm="1">
        <f t="array" ref="I953">_xlfn.IFS(Calls[[#This Row],[Duration (Min)]]&lt;=30,"Under 30 mins",Calls[[#This Row],[Duration (Min)]]&lt;=60,"Under 1h",Calls[[#This Row],[Duration (Min)]]&lt;=120,"Under 2",TRUE,"More than 2h")</f>
        <v>Under 1h</v>
      </c>
      <c r="J953">
        <f>IF(MONTH(Calls[[#This Row],[Date of Call]])&lt;=3,YEAR(Calls[[#This Row],[Date of Call]]),YEAR(Calls[[#This Row],[Date of Call]])+1)</f>
        <v>2026</v>
      </c>
      <c r="K953" t="str">
        <f>TEXT(Calls[[#This Row],[Date of Call]],"dddd")</f>
        <v>Thursday</v>
      </c>
      <c r="L953" t="str">
        <f>TEXT(Calls[[#This Row],[Date of Call]],"mmm")</f>
        <v>Jul</v>
      </c>
    </row>
    <row r="954" spans="1:12" x14ac:dyDescent="0.3">
      <c r="A954" t="s">
        <v>958</v>
      </c>
      <c r="B954" t="s">
        <v>1024</v>
      </c>
      <c r="C954">
        <v>72</v>
      </c>
      <c r="D954" t="s">
        <v>1029</v>
      </c>
      <c r="E954" t="s">
        <v>1223</v>
      </c>
      <c r="F954">
        <v>145</v>
      </c>
      <c r="G954">
        <v>1.3</v>
      </c>
      <c r="H954">
        <f>ROUND(Calls[[#This Row],[Satisfactory Rating]],0)</f>
        <v>1</v>
      </c>
      <c r="I954" t="str" cm="1">
        <f t="array" ref="I954">_xlfn.IFS(Calls[[#This Row],[Duration (Min)]]&lt;=30,"Under 30 mins",Calls[[#This Row],[Duration (Min)]]&lt;=60,"Under 1h",Calls[[#This Row],[Duration (Min)]]&lt;=120,"Under 2",TRUE,"More than 2h")</f>
        <v>Under 2</v>
      </c>
      <c r="J954">
        <f>IF(MONTH(Calls[[#This Row],[Date of Call]])&lt;=3,YEAR(Calls[[#This Row],[Date of Call]]),YEAR(Calls[[#This Row],[Date of Call]])+1)</f>
        <v>2026</v>
      </c>
      <c r="K954" t="str">
        <f>TEXT(Calls[[#This Row],[Date of Call]],"dddd")</f>
        <v>Thursday</v>
      </c>
      <c r="L954" t="str">
        <f>TEXT(Calls[[#This Row],[Date of Call]],"mmm")</f>
        <v>Jul</v>
      </c>
    </row>
    <row r="955" spans="1:12" x14ac:dyDescent="0.3">
      <c r="A955" t="s">
        <v>959</v>
      </c>
      <c r="B955" t="s">
        <v>1007</v>
      </c>
      <c r="C955">
        <v>125</v>
      </c>
      <c r="D955" t="s">
        <v>1026</v>
      </c>
      <c r="E955" t="s">
        <v>1223</v>
      </c>
      <c r="F955">
        <v>64</v>
      </c>
      <c r="G955">
        <v>3.2</v>
      </c>
      <c r="H955">
        <f>ROUND(Calls[[#This Row],[Satisfactory Rating]],0)</f>
        <v>3</v>
      </c>
      <c r="I955" t="str" cm="1">
        <f t="array" ref="I955">_xlfn.IFS(Calls[[#This Row],[Duration (Min)]]&lt;=30,"Under 30 mins",Calls[[#This Row],[Duration (Min)]]&lt;=60,"Under 1h",Calls[[#This Row],[Duration (Min)]]&lt;=120,"Under 2",TRUE,"More than 2h")</f>
        <v>More than 2h</v>
      </c>
      <c r="J955">
        <f>IF(MONTH(Calls[[#This Row],[Date of Call]])&lt;=3,YEAR(Calls[[#This Row],[Date of Call]]),YEAR(Calls[[#This Row],[Date of Call]])+1)</f>
        <v>2026</v>
      </c>
      <c r="K955" t="str">
        <f>TEXT(Calls[[#This Row],[Date of Call]],"dddd")</f>
        <v>Thursday</v>
      </c>
      <c r="L955" t="str">
        <f>TEXT(Calls[[#This Row],[Date of Call]],"mmm")</f>
        <v>Jul</v>
      </c>
    </row>
    <row r="956" spans="1:12" x14ac:dyDescent="0.3">
      <c r="A956" t="s">
        <v>960</v>
      </c>
      <c r="B956" t="s">
        <v>1021</v>
      </c>
      <c r="C956">
        <v>40</v>
      </c>
      <c r="D956" t="s">
        <v>1031</v>
      </c>
      <c r="E956" t="s">
        <v>1223</v>
      </c>
      <c r="F956">
        <v>68</v>
      </c>
      <c r="G956">
        <v>1.7</v>
      </c>
      <c r="H956">
        <f>ROUND(Calls[[#This Row],[Satisfactory Rating]],0)</f>
        <v>2</v>
      </c>
      <c r="I956" t="str" cm="1">
        <f t="array" ref="I956">_xlfn.IFS(Calls[[#This Row],[Duration (Min)]]&lt;=30,"Under 30 mins",Calls[[#This Row],[Duration (Min)]]&lt;=60,"Under 1h",Calls[[#This Row],[Duration (Min)]]&lt;=120,"Under 2",TRUE,"More than 2h")</f>
        <v>Under 1h</v>
      </c>
      <c r="J956">
        <f>IF(MONTH(Calls[[#This Row],[Date of Call]])&lt;=3,YEAR(Calls[[#This Row],[Date of Call]]),YEAR(Calls[[#This Row],[Date of Call]])+1)</f>
        <v>2026</v>
      </c>
      <c r="K956" t="str">
        <f>TEXT(Calls[[#This Row],[Date of Call]],"dddd")</f>
        <v>Thursday</v>
      </c>
      <c r="L956" t="str">
        <f>TEXT(Calls[[#This Row],[Date of Call]],"mmm")</f>
        <v>Jul</v>
      </c>
    </row>
    <row r="957" spans="1:12" x14ac:dyDescent="0.3">
      <c r="A957" t="s">
        <v>961</v>
      </c>
      <c r="B957" t="s">
        <v>1008</v>
      </c>
      <c r="C957">
        <v>151</v>
      </c>
      <c r="D957" t="s">
        <v>1032</v>
      </c>
      <c r="E957" t="s">
        <v>1224</v>
      </c>
      <c r="F957">
        <v>39</v>
      </c>
      <c r="G957">
        <v>3.4</v>
      </c>
      <c r="H957">
        <f>ROUND(Calls[[#This Row],[Satisfactory Rating]],0)</f>
        <v>3</v>
      </c>
      <c r="I957" t="str" cm="1">
        <f t="array" ref="I957">_xlfn.IFS(Calls[[#This Row],[Duration (Min)]]&lt;=30,"Under 30 mins",Calls[[#This Row],[Duration (Min)]]&lt;=60,"Under 1h",Calls[[#This Row],[Duration (Min)]]&lt;=120,"Under 2",TRUE,"More than 2h")</f>
        <v>More than 2h</v>
      </c>
      <c r="J957">
        <f>IF(MONTH(Calls[[#This Row],[Date of Call]])&lt;=3,YEAR(Calls[[#This Row],[Date of Call]]),YEAR(Calls[[#This Row],[Date of Call]])+1)</f>
        <v>2026</v>
      </c>
      <c r="K957" t="str">
        <f>TEXT(Calls[[#This Row],[Date of Call]],"dddd")</f>
        <v>Friday</v>
      </c>
      <c r="L957" t="str">
        <f>TEXT(Calls[[#This Row],[Date of Call]],"mmm")</f>
        <v>Jul</v>
      </c>
    </row>
    <row r="958" spans="1:12" x14ac:dyDescent="0.3">
      <c r="A958" t="s">
        <v>962</v>
      </c>
      <c r="B958" t="s">
        <v>1019</v>
      </c>
      <c r="C958">
        <v>18</v>
      </c>
      <c r="D958" t="s">
        <v>1032</v>
      </c>
      <c r="E958" t="s">
        <v>1224</v>
      </c>
      <c r="F958">
        <v>113</v>
      </c>
      <c r="G958">
        <v>3.2</v>
      </c>
      <c r="H958">
        <f>ROUND(Calls[[#This Row],[Satisfactory Rating]],0)</f>
        <v>3</v>
      </c>
      <c r="I958" t="str" cm="1">
        <f t="array" ref="I958">_xlfn.IFS(Calls[[#This Row],[Duration (Min)]]&lt;=30,"Under 30 mins",Calls[[#This Row],[Duration (Min)]]&lt;=60,"Under 1h",Calls[[#This Row],[Duration (Min)]]&lt;=120,"Under 2",TRUE,"More than 2h")</f>
        <v>Under 30 mins</v>
      </c>
      <c r="J958">
        <f>IF(MONTH(Calls[[#This Row],[Date of Call]])&lt;=3,YEAR(Calls[[#This Row],[Date of Call]]),YEAR(Calls[[#This Row],[Date of Call]])+1)</f>
        <v>2026</v>
      </c>
      <c r="K958" t="str">
        <f>TEXT(Calls[[#This Row],[Date of Call]],"dddd")</f>
        <v>Friday</v>
      </c>
      <c r="L958" t="str">
        <f>TEXT(Calls[[#This Row],[Date of Call]],"mmm")</f>
        <v>Jul</v>
      </c>
    </row>
    <row r="959" spans="1:12" x14ac:dyDescent="0.3">
      <c r="A959" t="s">
        <v>963</v>
      </c>
      <c r="B959" t="s">
        <v>1012</v>
      </c>
      <c r="C959">
        <v>100</v>
      </c>
      <c r="D959" t="s">
        <v>1032</v>
      </c>
      <c r="E959" t="s">
        <v>1224</v>
      </c>
      <c r="F959">
        <v>113</v>
      </c>
      <c r="G959">
        <v>2.7</v>
      </c>
      <c r="H959">
        <f>ROUND(Calls[[#This Row],[Satisfactory Rating]],0)</f>
        <v>3</v>
      </c>
      <c r="I959" t="str" cm="1">
        <f t="array" ref="I959">_xlfn.IFS(Calls[[#This Row],[Duration (Min)]]&lt;=30,"Under 30 mins",Calls[[#This Row],[Duration (Min)]]&lt;=60,"Under 1h",Calls[[#This Row],[Duration (Min)]]&lt;=120,"Under 2",TRUE,"More than 2h")</f>
        <v>Under 2</v>
      </c>
      <c r="J959">
        <f>IF(MONTH(Calls[[#This Row],[Date of Call]])&lt;=3,YEAR(Calls[[#This Row],[Date of Call]]),YEAR(Calls[[#This Row],[Date of Call]])+1)</f>
        <v>2026</v>
      </c>
      <c r="K959" t="str">
        <f>TEXT(Calls[[#This Row],[Date of Call]],"dddd")</f>
        <v>Friday</v>
      </c>
      <c r="L959" t="str">
        <f>TEXT(Calls[[#This Row],[Date of Call]],"mmm")</f>
        <v>Jul</v>
      </c>
    </row>
    <row r="960" spans="1:12" x14ac:dyDescent="0.3">
      <c r="A960" t="s">
        <v>964</v>
      </c>
      <c r="B960" t="s">
        <v>1019</v>
      </c>
      <c r="C960">
        <v>115</v>
      </c>
      <c r="D960" t="s">
        <v>1026</v>
      </c>
      <c r="E960" t="s">
        <v>1224</v>
      </c>
      <c r="F960">
        <v>68</v>
      </c>
      <c r="G960">
        <v>1.4</v>
      </c>
      <c r="H960">
        <f>ROUND(Calls[[#This Row],[Satisfactory Rating]],0)</f>
        <v>1</v>
      </c>
      <c r="I960" t="str" cm="1">
        <f t="array" ref="I960">_xlfn.IFS(Calls[[#This Row],[Duration (Min)]]&lt;=30,"Under 30 mins",Calls[[#This Row],[Duration (Min)]]&lt;=60,"Under 1h",Calls[[#This Row],[Duration (Min)]]&lt;=120,"Under 2",TRUE,"More than 2h")</f>
        <v>Under 2</v>
      </c>
      <c r="J960">
        <f>IF(MONTH(Calls[[#This Row],[Date of Call]])&lt;=3,YEAR(Calls[[#This Row],[Date of Call]]),YEAR(Calls[[#This Row],[Date of Call]])+1)</f>
        <v>2026</v>
      </c>
      <c r="K960" t="str">
        <f>TEXT(Calls[[#This Row],[Date of Call]],"dddd")</f>
        <v>Friday</v>
      </c>
      <c r="L960" t="str">
        <f>TEXT(Calls[[#This Row],[Date of Call]],"mmm")</f>
        <v>Jul</v>
      </c>
    </row>
    <row r="961" spans="1:12" x14ac:dyDescent="0.3">
      <c r="A961" t="s">
        <v>965</v>
      </c>
      <c r="B961" t="s">
        <v>1006</v>
      </c>
      <c r="C961">
        <v>43</v>
      </c>
      <c r="D961" t="s">
        <v>1028</v>
      </c>
      <c r="E961" t="s">
        <v>1224</v>
      </c>
      <c r="F961">
        <v>68</v>
      </c>
      <c r="G961">
        <v>2.1</v>
      </c>
      <c r="H961">
        <f>ROUND(Calls[[#This Row],[Satisfactory Rating]],0)</f>
        <v>2</v>
      </c>
      <c r="I961" t="str" cm="1">
        <f t="array" ref="I961">_xlfn.IFS(Calls[[#This Row],[Duration (Min)]]&lt;=30,"Under 30 mins",Calls[[#This Row],[Duration (Min)]]&lt;=60,"Under 1h",Calls[[#This Row],[Duration (Min)]]&lt;=120,"Under 2",TRUE,"More than 2h")</f>
        <v>Under 1h</v>
      </c>
      <c r="J961">
        <f>IF(MONTH(Calls[[#This Row],[Date of Call]])&lt;=3,YEAR(Calls[[#This Row],[Date of Call]]),YEAR(Calls[[#This Row],[Date of Call]])+1)</f>
        <v>2026</v>
      </c>
      <c r="K961" t="str">
        <f>TEXT(Calls[[#This Row],[Date of Call]],"dddd")</f>
        <v>Friday</v>
      </c>
      <c r="L961" t="str">
        <f>TEXT(Calls[[#This Row],[Date of Call]],"mmm")</f>
        <v>Jul</v>
      </c>
    </row>
    <row r="962" spans="1:12" x14ac:dyDescent="0.3">
      <c r="A962" t="s">
        <v>966</v>
      </c>
      <c r="B962" t="s">
        <v>1022</v>
      </c>
      <c r="C962">
        <v>21</v>
      </c>
      <c r="D962" t="s">
        <v>1032</v>
      </c>
      <c r="E962" t="s">
        <v>1225</v>
      </c>
      <c r="F962">
        <v>150</v>
      </c>
      <c r="G962">
        <v>4.2</v>
      </c>
      <c r="H962">
        <f>ROUND(Calls[[#This Row],[Satisfactory Rating]],0)</f>
        <v>4</v>
      </c>
      <c r="I962" t="str" cm="1">
        <f t="array" ref="I962">_xlfn.IFS(Calls[[#This Row],[Duration (Min)]]&lt;=30,"Under 30 mins",Calls[[#This Row],[Duration (Min)]]&lt;=60,"Under 1h",Calls[[#This Row],[Duration (Min)]]&lt;=120,"Under 2",TRUE,"More than 2h")</f>
        <v>Under 30 mins</v>
      </c>
      <c r="J962">
        <f>IF(MONTH(Calls[[#This Row],[Date of Call]])&lt;=3,YEAR(Calls[[#This Row],[Date of Call]]),YEAR(Calls[[#This Row],[Date of Call]])+1)</f>
        <v>2026</v>
      </c>
      <c r="K962" t="str">
        <f>TEXT(Calls[[#This Row],[Date of Call]],"dddd")</f>
        <v>Saturday</v>
      </c>
      <c r="L962" t="str">
        <f>TEXT(Calls[[#This Row],[Date of Call]],"mmm")</f>
        <v>Jul</v>
      </c>
    </row>
    <row r="963" spans="1:12" x14ac:dyDescent="0.3">
      <c r="A963" t="s">
        <v>967</v>
      </c>
      <c r="B963" t="s">
        <v>1015</v>
      </c>
      <c r="C963">
        <v>39</v>
      </c>
      <c r="D963" t="s">
        <v>1029</v>
      </c>
      <c r="E963" t="s">
        <v>1225</v>
      </c>
      <c r="F963">
        <v>82</v>
      </c>
      <c r="G963">
        <v>4.0999999999999996</v>
      </c>
      <c r="H963">
        <f>ROUND(Calls[[#This Row],[Satisfactory Rating]],0)</f>
        <v>4</v>
      </c>
      <c r="I963" t="str" cm="1">
        <f t="array" ref="I963">_xlfn.IFS(Calls[[#This Row],[Duration (Min)]]&lt;=30,"Under 30 mins",Calls[[#This Row],[Duration (Min)]]&lt;=60,"Under 1h",Calls[[#This Row],[Duration (Min)]]&lt;=120,"Under 2",TRUE,"More than 2h")</f>
        <v>Under 1h</v>
      </c>
      <c r="J963">
        <f>IF(MONTH(Calls[[#This Row],[Date of Call]])&lt;=3,YEAR(Calls[[#This Row],[Date of Call]]),YEAR(Calls[[#This Row],[Date of Call]])+1)</f>
        <v>2026</v>
      </c>
      <c r="K963" t="str">
        <f>TEXT(Calls[[#This Row],[Date of Call]],"dddd")</f>
        <v>Saturday</v>
      </c>
      <c r="L963" t="str">
        <f>TEXT(Calls[[#This Row],[Date of Call]],"mmm")</f>
        <v>Jul</v>
      </c>
    </row>
    <row r="964" spans="1:12" x14ac:dyDescent="0.3">
      <c r="A964" t="s">
        <v>968</v>
      </c>
      <c r="B964" t="s">
        <v>1024</v>
      </c>
      <c r="C964">
        <v>133</v>
      </c>
      <c r="D964" t="s">
        <v>1028</v>
      </c>
      <c r="E964" t="s">
        <v>1225</v>
      </c>
      <c r="F964">
        <v>115</v>
      </c>
      <c r="G964">
        <v>3.2</v>
      </c>
      <c r="H964">
        <f>ROUND(Calls[[#This Row],[Satisfactory Rating]],0)</f>
        <v>3</v>
      </c>
      <c r="I964" t="str" cm="1">
        <f t="array" ref="I964">_xlfn.IFS(Calls[[#This Row],[Duration (Min)]]&lt;=30,"Under 30 mins",Calls[[#This Row],[Duration (Min)]]&lt;=60,"Under 1h",Calls[[#This Row],[Duration (Min)]]&lt;=120,"Under 2",TRUE,"More than 2h")</f>
        <v>More than 2h</v>
      </c>
      <c r="J964">
        <f>IF(MONTH(Calls[[#This Row],[Date of Call]])&lt;=3,YEAR(Calls[[#This Row],[Date of Call]]),YEAR(Calls[[#This Row],[Date of Call]])+1)</f>
        <v>2026</v>
      </c>
      <c r="K964" t="str">
        <f>TEXT(Calls[[#This Row],[Date of Call]],"dddd")</f>
        <v>Saturday</v>
      </c>
      <c r="L964" t="str">
        <f>TEXT(Calls[[#This Row],[Date of Call]],"mmm")</f>
        <v>Jul</v>
      </c>
    </row>
    <row r="965" spans="1:12" x14ac:dyDescent="0.3">
      <c r="A965" t="s">
        <v>969</v>
      </c>
      <c r="B965" t="s">
        <v>1012</v>
      </c>
      <c r="C965">
        <v>70</v>
      </c>
      <c r="D965" t="s">
        <v>1029</v>
      </c>
      <c r="E965" t="s">
        <v>1225</v>
      </c>
      <c r="F965">
        <v>92</v>
      </c>
      <c r="G965">
        <v>4.0999999999999996</v>
      </c>
      <c r="H965">
        <f>ROUND(Calls[[#This Row],[Satisfactory Rating]],0)</f>
        <v>4</v>
      </c>
      <c r="I965" t="str" cm="1">
        <f t="array" ref="I965">_xlfn.IFS(Calls[[#This Row],[Duration (Min)]]&lt;=30,"Under 30 mins",Calls[[#This Row],[Duration (Min)]]&lt;=60,"Under 1h",Calls[[#This Row],[Duration (Min)]]&lt;=120,"Under 2",TRUE,"More than 2h")</f>
        <v>Under 2</v>
      </c>
      <c r="J965">
        <f>IF(MONTH(Calls[[#This Row],[Date of Call]])&lt;=3,YEAR(Calls[[#This Row],[Date of Call]]),YEAR(Calls[[#This Row],[Date of Call]])+1)</f>
        <v>2026</v>
      </c>
      <c r="K965" t="str">
        <f>TEXT(Calls[[#This Row],[Date of Call]],"dddd")</f>
        <v>Saturday</v>
      </c>
      <c r="L965" t="str">
        <f>TEXT(Calls[[#This Row],[Date of Call]],"mmm")</f>
        <v>Jul</v>
      </c>
    </row>
    <row r="966" spans="1:12" x14ac:dyDescent="0.3">
      <c r="A966" t="s">
        <v>970</v>
      </c>
      <c r="B966" t="s">
        <v>1010</v>
      </c>
      <c r="C966">
        <v>76</v>
      </c>
      <c r="D966" t="s">
        <v>1032</v>
      </c>
      <c r="E966" t="s">
        <v>1225</v>
      </c>
      <c r="F966">
        <v>76</v>
      </c>
      <c r="G966">
        <v>4</v>
      </c>
      <c r="H966">
        <f>ROUND(Calls[[#This Row],[Satisfactory Rating]],0)</f>
        <v>4</v>
      </c>
      <c r="I966" t="str" cm="1">
        <f t="array" ref="I966">_xlfn.IFS(Calls[[#This Row],[Duration (Min)]]&lt;=30,"Under 30 mins",Calls[[#This Row],[Duration (Min)]]&lt;=60,"Under 1h",Calls[[#This Row],[Duration (Min)]]&lt;=120,"Under 2",TRUE,"More than 2h")</f>
        <v>Under 2</v>
      </c>
      <c r="J966">
        <f>IF(MONTH(Calls[[#This Row],[Date of Call]])&lt;=3,YEAR(Calls[[#This Row],[Date of Call]]),YEAR(Calls[[#This Row],[Date of Call]])+1)</f>
        <v>2026</v>
      </c>
      <c r="K966" t="str">
        <f>TEXT(Calls[[#This Row],[Date of Call]],"dddd")</f>
        <v>Saturday</v>
      </c>
      <c r="L966" t="str">
        <f>TEXT(Calls[[#This Row],[Date of Call]],"mmm")</f>
        <v>Jul</v>
      </c>
    </row>
    <row r="967" spans="1:12" x14ac:dyDescent="0.3">
      <c r="A967" t="s">
        <v>971</v>
      </c>
      <c r="B967" t="s">
        <v>1016</v>
      </c>
      <c r="C967">
        <v>81</v>
      </c>
      <c r="D967" t="s">
        <v>1031</v>
      </c>
      <c r="E967" t="s">
        <v>1226</v>
      </c>
      <c r="F967">
        <v>25</v>
      </c>
      <c r="G967">
        <v>4.8</v>
      </c>
      <c r="H967">
        <f>ROUND(Calls[[#This Row],[Satisfactory Rating]],0)</f>
        <v>5</v>
      </c>
      <c r="I967" t="str" cm="1">
        <f t="array" ref="I967">_xlfn.IFS(Calls[[#This Row],[Duration (Min)]]&lt;=30,"Under 30 mins",Calls[[#This Row],[Duration (Min)]]&lt;=60,"Under 1h",Calls[[#This Row],[Duration (Min)]]&lt;=120,"Under 2",TRUE,"More than 2h")</f>
        <v>Under 2</v>
      </c>
      <c r="J967">
        <f>IF(MONTH(Calls[[#This Row],[Date of Call]])&lt;=3,YEAR(Calls[[#This Row],[Date of Call]]),YEAR(Calls[[#This Row],[Date of Call]])+1)</f>
        <v>2026</v>
      </c>
      <c r="K967" t="str">
        <f>TEXT(Calls[[#This Row],[Date of Call]],"dddd")</f>
        <v>Sunday</v>
      </c>
      <c r="L967" t="str">
        <f>TEXT(Calls[[#This Row],[Date of Call]],"mmm")</f>
        <v>Jul</v>
      </c>
    </row>
    <row r="968" spans="1:12" x14ac:dyDescent="0.3">
      <c r="A968" t="s">
        <v>972</v>
      </c>
      <c r="B968" t="s">
        <v>1022</v>
      </c>
      <c r="C968">
        <v>148</v>
      </c>
      <c r="D968" t="s">
        <v>1032</v>
      </c>
      <c r="E968" t="s">
        <v>1226</v>
      </c>
      <c r="F968">
        <v>141</v>
      </c>
      <c r="G968">
        <v>1.6</v>
      </c>
      <c r="H968">
        <f>ROUND(Calls[[#This Row],[Satisfactory Rating]],0)</f>
        <v>2</v>
      </c>
      <c r="I968" t="str" cm="1">
        <f t="array" ref="I968">_xlfn.IFS(Calls[[#This Row],[Duration (Min)]]&lt;=30,"Under 30 mins",Calls[[#This Row],[Duration (Min)]]&lt;=60,"Under 1h",Calls[[#This Row],[Duration (Min)]]&lt;=120,"Under 2",TRUE,"More than 2h")</f>
        <v>More than 2h</v>
      </c>
      <c r="J968">
        <f>IF(MONTH(Calls[[#This Row],[Date of Call]])&lt;=3,YEAR(Calls[[#This Row],[Date of Call]]),YEAR(Calls[[#This Row],[Date of Call]])+1)</f>
        <v>2026</v>
      </c>
      <c r="K968" t="str">
        <f>TEXT(Calls[[#This Row],[Date of Call]],"dddd")</f>
        <v>Sunday</v>
      </c>
      <c r="L968" t="str">
        <f>TEXT(Calls[[#This Row],[Date of Call]],"mmm")</f>
        <v>Jul</v>
      </c>
    </row>
    <row r="969" spans="1:12" x14ac:dyDescent="0.3">
      <c r="A969" t="s">
        <v>973</v>
      </c>
      <c r="B969" t="s">
        <v>1011</v>
      </c>
      <c r="C969">
        <v>28</v>
      </c>
      <c r="D969" t="s">
        <v>1030</v>
      </c>
      <c r="E969" t="s">
        <v>1226</v>
      </c>
      <c r="F969">
        <v>115</v>
      </c>
      <c r="G969">
        <v>1.5</v>
      </c>
      <c r="H969">
        <f>ROUND(Calls[[#This Row],[Satisfactory Rating]],0)</f>
        <v>2</v>
      </c>
      <c r="I969" t="str" cm="1">
        <f t="array" ref="I969">_xlfn.IFS(Calls[[#This Row],[Duration (Min)]]&lt;=30,"Under 30 mins",Calls[[#This Row],[Duration (Min)]]&lt;=60,"Under 1h",Calls[[#This Row],[Duration (Min)]]&lt;=120,"Under 2",TRUE,"More than 2h")</f>
        <v>Under 30 mins</v>
      </c>
      <c r="J969">
        <f>IF(MONTH(Calls[[#This Row],[Date of Call]])&lt;=3,YEAR(Calls[[#This Row],[Date of Call]]),YEAR(Calls[[#This Row],[Date of Call]])+1)</f>
        <v>2026</v>
      </c>
      <c r="K969" t="str">
        <f>TEXT(Calls[[#This Row],[Date of Call]],"dddd")</f>
        <v>Sunday</v>
      </c>
      <c r="L969" t="str">
        <f>TEXT(Calls[[#This Row],[Date of Call]],"mmm")</f>
        <v>Jul</v>
      </c>
    </row>
    <row r="970" spans="1:12" x14ac:dyDescent="0.3">
      <c r="A970" t="s">
        <v>974</v>
      </c>
      <c r="B970" t="s">
        <v>1008</v>
      </c>
      <c r="C970">
        <v>158</v>
      </c>
      <c r="D970" t="s">
        <v>1029</v>
      </c>
      <c r="E970" t="s">
        <v>1226</v>
      </c>
      <c r="F970">
        <v>49</v>
      </c>
      <c r="G970">
        <v>3.9</v>
      </c>
      <c r="H970">
        <f>ROUND(Calls[[#This Row],[Satisfactory Rating]],0)</f>
        <v>4</v>
      </c>
      <c r="I970" t="str" cm="1">
        <f t="array" ref="I970">_xlfn.IFS(Calls[[#This Row],[Duration (Min)]]&lt;=30,"Under 30 mins",Calls[[#This Row],[Duration (Min)]]&lt;=60,"Under 1h",Calls[[#This Row],[Duration (Min)]]&lt;=120,"Under 2",TRUE,"More than 2h")</f>
        <v>More than 2h</v>
      </c>
      <c r="J970">
        <f>IF(MONTH(Calls[[#This Row],[Date of Call]])&lt;=3,YEAR(Calls[[#This Row],[Date of Call]]),YEAR(Calls[[#This Row],[Date of Call]])+1)</f>
        <v>2026</v>
      </c>
      <c r="K970" t="str">
        <f>TEXT(Calls[[#This Row],[Date of Call]],"dddd")</f>
        <v>Sunday</v>
      </c>
      <c r="L970" t="str">
        <f>TEXT(Calls[[#This Row],[Date of Call]],"mmm")</f>
        <v>Jul</v>
      </c>
    </row>
    <row r="971" spans="1:12" x14ac:dyDescent="0.3">
      <c r="A971" t="s">
        <v>975</v>
      </c>
      <c r="B971" t="s">
        <v>1025</v>
      </c>
      <c r="C971">
        <v>17</v>
      </c>
      <c r="D971" t="s">
        <v>1027</v>
      </c>
      <c r="E971" t="s">
        <v>1226</v>
      </c>
      <c r="F971">
        <v>65</v>
      </c>
      <c r="G971">
        <v>4.5999999999999996</v>
      </c>
      <c r="H971">
        <f>ROUND(Calls[[#This Row],[Satisfactory Rating]],0)</f>
        <v>5</v>
      </c>
      <c r="I971" t="str" cm="1">
        <f t="array" ref="I971">_xlfn.IFS(Calls[[#This Row],[Duration (Min)]]&lt;=30,"Under 30 mins",Calls[[#This Row],[Duration (Min)]]&lt;=60,"Under 1h",Calls[[#This Row],[Duration (Min)]]&lt;=120,"Under 2",TRUE,"More than 2h")</f>
        <v>Under 30 mins</v>
      </c>
      <c r="J971">
        <f>IF(MONTH(Calls[[#This Row],[Date of Call]])&lt;=3,YEAR(Calls[[#This Row],[Date of Call]]),YEAR(Calls[[#This Row],[Date of Call]])+1)</f>
        <v>2026</v>
      </c>
      <c r="K971" t="str">
        <f>TEXT(Calls[[#This Row],[Date of Call]],"dddd")</f>
        <v>Sunday</v>
      </c>
      <c r="L971" t="str">
        <f>TEXT(Calls[[#This Row],[Date of Call]],"mmm")</f>
        <v>Jul</v>
      </c>
    </row>
    <row r="972" spans="1:12" x14ac:dyDescent="0.3">
      <c r="A972" t="s">
        <v>976</v>
      </c>
      <c r="B972" t="s">
        <v>1006</v>
      </c>
      <c r="C972">
        <v>55</v>
      </c>
      <c r="D972" t="s">
        <v>1027</v>
      </c>
      <c r="E972" t="s">
        <v>1227</v>
      </c>
      <c r="F972">
        <v>82</v>
      </c>
      <c r="G972">
        <v>3.6</v>
      </c>
      <c r="H972">
        <f>ROUND(Calls[[#This Row],[Satisfactory Rating]],0)</f>
        <v>4</v>
      </c>
      <c r="I972" t="str" cm="1">
        <f t="array" ref="I972">_xlfn.IFS(Calls[[#This Row],[Duration (Min)]]&lt;=30,"Under 30 mins",Calls[[#This Row],[Duration (Min)]]&lt;=60,"Under 1h",Calls[[#This Row],[Duration (Min)]]&lt;=120,"Under 2",TRUE,"More than 2h")</f>
        <v>Under 1h</v>
      </c>
      <c r="J972">
        <f>IF(MONTH(Calls[[#This Row],[Date of Call]])&lt;=3,YEAR(Calls[[#This Row],[Date of Call]]),YEAR(Calls[[#This Row],[Date of Call]])+1)</f>
        <v>2026</v>
      </c>
      <c r="K972" t="str">
        <f>TEXT(Calls[[#This Row],[Date of Call]],"dddd")</f>
        <v>Monday</v>
      </c>
      <c r="L972" t="str">
        <f>TEXT(Calls[[#This Row],[Date of Call]],"mmm")</f>
        <v>Jul</v>
      </c>
    </row>
    <row r="973" spans="1:12" x14ac:dyDescent="0.3">
      <c r="A973" t="s">
        <v>977</v>
      </c>
      <c r="B973" t="s">
        <v>1016</v>
      </c>
      <c r="C973">
        <v>148</v>
      </c>
      <c r="D973" t="s">
        <v>1026</v>
      </c>
      <c r="E973" t="s">
        <v>1227</v>
      </c>
      <c r="F973">
        <v>107</v>
      </c>
      <c r="G973">
        <v>3.5</v>
      </c>
      <c r="H973">
        <f>ROUND(Calls[[#This Row],[Satisfactory Rating]],0)</f>
        <v>4</v>
      </c>
      <c r="I973" t="str" cm="1">
        <f t="array" ref="I973">_xlfn.IFS(Calls[[#This Row],[Duration (Min)]]&lt;=30,"Under 30 mins",Calls[[#This Row],[Duration (Min)]]&lt;=60,"Under 1h",Calls[[#This Row],[Duration (Min)]]&lt;=120,"Under 2",TRUE,"More than 2h")</f>
        <v>More than 2h</v>
      </c>
      <c r="J973">
        <f>IF(MONTH(Calls[[#This Row],[Date of Call]])&lt;=3,YEAR(Calls[[#This Row],[Date of Call]]),YEAR(Calls[[#This Row],[Date of Call]])+1)</f>
        <v>2026</v>
      </c>
      <c r="K973" t="str">
        <f>TEXT(Calls[[#This Row],[Date of Call]],"dddd")</f>
        <v>Monday</v>
      </c>
      <c r="L973" t="str">
        <f>TEXT(Calls[[#This Row],[Date of Call]],"mmm")</f>
        <v>Jul</v>
      </c>
    </row>
    <row r="974" spans="1:12" x14ac:dyDescent="0.3">
      <c r="A974" t="s">
        <v>978</v>
      </c>
      <c r="B974" t="s">
        <v>1019</v>
      </c>
      <c r="C974">
        <v>148</v>
      </c>
      <c r="D974" t="s">
        <v>1026</v>
      </c>
      <c r="E974" t="s">
        <v>1227</v>
      </c>
      <c r="F974">
        <v>112</v>
      </c>
      <c r="G974">
        <v>2.8</v>
      </c>
      <c r="H974">
        <f>ROUND(Calls[[#This Row],[Satisfactory Rating]],0)</f>
        <v>3</v>
      </c>
      <c r="I974" t="str" cm="1">
        <f t="array" ref="I974">_xlfn.IFS(Calls[[#This Row],[Duration (Min)]]&lt;=30,"Under 30 mins",Calls[[#This Row],[Duration (Min)]]&lt;=60,"Under 1h",Calls[[#This Row],[Duration (Min)]]&lt;=120,"Under 2",TRUE,"More than 2h")</f>
        <v>More than 2h</v>
      </c>
      <c r="J974">
        <f>IF(MONTH(Calls[[#This Row],[Date of Call]])&lt;=3,YEAR(Calls[[#This Row],[Date of Call]]),YEAR(Calls[[#This Row],[Date of Call]])+1)</f>
        <v>2026</v>
      </c>
      <c r="K974" t="str">
        <f>TEXT(Calls[[#This Row],[Date of Call]],"dddd")</f>
        <v>Monday</v>
      </c>
      <c r="L974" t="str">
        <f>TEXT(Calls[[#This Row],[Date of Call]],"mmm")</f>
        <v>Jul</v>
      </c>
    </row>
    <row r="975" spans="1:12" x14ac:dyDescent="0.3">
      <c r="A975" t="s">
        <v>979</v>
      </c>
      <c r="B975" t="s">
        <v>1006</v>
      </c>
      <c r="C975">
        <v>133</v>
      </c>
      <c r="D975" t="s">
        <v>1031</v>
      </c>
      <c r="E975" t="s">
        <v>1227</v>
      </c>
      <c r="F975">
        <v>80</v>
      </c>
      <c r="G975">
        <v>4.0999999999999996</v>
      </c>
      <c r="H975">
        <f>ROUND(Calls[[#This Row],[Satisfactory Rating]],0)</f>
        <v>4</v>
      </c>
      <c r="I975" t="str" cm="1">
        <f t="array" ref="I975">_xlfn.IFS(Calls[[#This Row],[Duration (Min)]]&lt;=30,"Under 30 mins",Calls[[#This Row],[Duration (Min)]]&lt;=60,"Under 1h",Calls[[#This Row],[Duration (Min)]]&lt;=120,"Under 2",TRUE,"More than 2h")</f>
        <v>More than 2h</v>
      </c>
      <c r="J975">
        <f>IF(MONTH(Calls[[#This Row],[Date of Call]])&lt;=3,YEAR(Calls[[#This Row],[Date of Call]]),YEAR(Calls[[#This Row],[Date of Call]])+1)</f>
        <v>2026</v>
      </c>
      <c r="K975" t="str">
        <f>TEXT(Calls[[#This Row],[Date of Call]],"dddd")</f>
        <v>Monday</v>
      </c>
      <c r="L975" t="str">
        <f>TEXT(Calls[[#This Row],[Date of Call]],"mmm")</f>
        <v>Jul</v>
      </c>
    </row>
    <row r="976" spans="1:12" x14ac:dyDescent="0.3">
      <c r="A976" t="s">
        <v>980</v>
      </c>
      <c r="B976" t="s">
        <v>1021</v>
      </c>
      <c r="C976">
        <v>85</v>
      </c>
      <c r="D976" t="s">
        <v>1030</v>
      </c>
      <c r="E976" t="s">
        <v>1227</v>
      </c>
      <c r="F976">
        <v>131</v>
      </c>
      <c r="G976">
        <v>2</v>
      </c>
      <c r="H976">
        <f>ROUND(Calls[[#This Row],[Satisfactory Rating]],0)</f>
        <v>2</v>
      </c>
      <c r="I976" t="str" cm="1">
        <f t="array" ref="I976">_xlfn.IFS(Calls[[#This Row],[Duration (Min)]]&lt;=30,"Under 30 mins",Calls[[#This Row],[Duration (Min)]]&lt;=60,"Under 1h",Calls[[#This Row],[Duration (Min)]]&lt;=120,"Under 2",TRUE,"More than 2h")</f>
        <v>Under 2</v>
      </c>
      <c r="J976">
        <f>IF(MONTH(Calls[[#This Row],[Date of Call]])&lt;=3,YEAR(Calls[[#This Row],[Date of Call]]),YEAR(Calls[[#This Row],[Date of Call]])+1)</f>
        <v>2026</v>
      </c>
      <c r="K976" t="str">
        <f>TEXT(Calls[[#This Row],[Date of Call]],"dddd")</f>
        <v>Monday</v>
      </c>
      <c r="L976" t="str">
        <f>TEXT(Calls[[#This Row],[Date of Call]],"mmm")</f>
        <v>Jul</v>
      </c>
    </row>
    <row r="977" spans="1:12" x14ac:dyDescent="0.3">
      <c r="A977" t="s">
        <v>981</v>
      </c>
      <c r="B977" t="s">
        <v>1014</v>
      </c>
      <c r="C977">
        <v>48</v>
      </c>
      <c r="D977" t="s">
        <v>1031</v>
      </c>
      <c r="E977" t="s">
        <v>1228</v>
      </c>
      <c r="F977">
        <v>61</v>
      </c>
      <c r="G977">
        <v>2.8</v>
      </c>
      <c r="H977">
        <f>ROUND(Calls[[#This Row],[Satisfactory Rating]],0)</f>
        <v>3</v>
      </c>
      <c r="I977" t="str" cm="1">
        <f t="array" ref="I977">_xlfn.IFS(Calls[[#This Row],[Duration (Min)]]&lt;=30,"Under 30 mins",Calls[[#This Row],[Duration (Min)]]&lt;=60,"Under 1h",Calls[[#This Row],[Duration (Min)]]&lt;=120,"Under 2",TRUE,"More than 2h")</f>
        <v>Under 1h</v>
      </c>
      <c r="J977">
        <f>IF(MONTH(Calls[[#This Row],[Date of Call]])&lt;=3,YEAR(Calls[[#This Row],[Date of Call]]),YEAR(Calls[[#This Row],[Date of Call]])+1)</f>
        <v>2026</v>
      </c>
      <c r="K977" t="str">
        <f>TEXT(Calls[[#This Row],[Date of Call]],"dddd")</f>
        <v>Tuesday</v>
      </c>
      <c r="L977" t="str">
        <f>TEXT(Calls[[#This Row],[Date of Call]],"mmm")</f>
        <v>Jul</v>
      </c>
    </row>
    <row r="978" spans="1:12" x14ac:dyDescent="0.3">
      <c r="A978" t="s">
        <v>982</v>
      </c>
      <c r="B978" t="s">
        <v>1024</v>
      </c>
      <c r="C978">
        <v>62</v>
      </c>
      <c r="D978" t="s">
        <v>1029</v>
      </c>
      <c r="E978" t="s">
        <v>1228</v>
      </c>
      <c r="F978">
        <v>64</v>
      </c>
      <c r="G978">
        <v>1.1000000000000001</v>
      </c>
      <c r="H978">
        <f>ROUND(Calls[[#This Row],[Satisfactory Rating]],0)</f>
        <v>1</v>
      </c>
      <c r="I978" t="str" cm="1">
        <f t="array" ref="I978">_xlfn.IFS(Calls[[#This Row],[Duration (Min)]]&lt;=30,"Under 30 mins",Calls[[#This Row],[Duration (Min)]]&lt;=60,"Under 1h",Calls[[#This Row],[Duration (Min)]]&lt;=120,"Under 2",TRUE,"More than 2h")</f>
        <v>Under 2</v>
      </c>
      <c r="J978">
        <f>IF(MONTH(Calls[[#This Row],[Date of Call]])&lt;=3,YEAR(Calls[[#This Row],[Date of Call]]),YEAR(Calls[[#This Row],[Date of Call]])+1)</f>
        <v>2026</v>
      </c>
      <c r="K978" t="str">
        <f>TEXT(Calls[[#This Row],[Date of Call]],"dddd")</f>
        <v>Tuesday</v>
      </c>
      <c r="L978" t="str">
        <f>TEXT(Calls[[#This Row],[Date of Call]],"mmm")</f>
        <v>Jul</v>
      </c>
    </row>
    <row r="979" spans="1:12" x14ac:dyDescent="0.3">
      <c r="A979" t="s">
        <v>983</v>
      </c>
      <c r="B979" t="s">
        <v>1017</v>
      </c>
      <c r="C979">
        <v>44</v>
      </c>
      <c r="D979" t="s">
        <v>1030</v>
      </c>
      <c r="E979" t="s">
        <v>1228</v>
      </c>
      <c r="F979">
        <v>117</v>
      </c>
      <c r="G979">
        <v>4.9000000000000004</v>
      </c>
      <c r="H979">
        <f>ROUND(Calls[[#This Row],[Satisfactory Rating]],0)</f>
        <v>5</v>
      </c>
      <c r="I979" t="str" cm="1">
        <f t="array" ref="I979">_xlfn.IFS(Calls[[#This Row],[Duration (Min)]]&lt;=30,"Under 30 mins",Calls[[#This Row],[Duration (Min)]]&lt;=60,"Under 1h",Calls[[#This Row],[Duration (Min)]]&lt;=120,"Under 2",TRUE,"More than 2h")</f>
        <v>Under 1h</v>
      </c>
      <c r="J979">
        <f>IF(MONTH(Calls[[#This Row],[Date of Call]])&lt;=3,YEAR(Calls[[#This Row],[Date of Call]]),YEAR(Calls[[#This Row],[Date of Call]])+1)</f>
        <v>2026</v>
      </c>
      <c r="K979" t="str">
        <f>TEXT(Calls[[#This Row],[Date of Call]],"dddd")</f>
        <v>Tuesday</v>
      </c>
      <c r="L979" t="str">
        <f>TEXT(Calls[[#This Row],[Date of Call]],"mmm")</f>
        <v>Jul</v>
      </c>
    </row>
    <row r="980" spans="1:12" x14ac:dyDescent="0.3">
      <c r="A980" t="s">
        <v>984</v>
      </c>
      <c r="B980" t="s">
        <v>1019</v>
      </c>
      <c r="C980">
        <v>58</v>
      </c>
      <c r="D980" t="s">
        <v>1031</v>
      </c>
      <c r="E980" t="s">
        <v>1228</v>
      </c>
      <c r="F980">
        <v>31</v>
      </c>
      <c r="G980">
        <v>3.2</v>
      </c>
      <c r="H980">
        <f>ROUND(Calls[[#This Row],[Satisfactory Rating]],0)</f>
        <v>3</v>
      </c>
      <c r="I980" t="str" cm="1">
        <f t="array" ref="I980">_xlfn.IFS(Calls[[#This Row],[Duration (Min)]]&lt;=30,"Under 30 mins",Calls[[#This Row],[Duration (Min)]]&lt;=60,"Under 1h",Calls[[#This Row],[Duration (Min)]]&lt;=120,"Under 2",TRUE,"More than 2h")</f>
        <v>Under 1h</v>
      </c>
      <c r="J980">
        <f>IF(MONTH(Calls[[#This Row],[Date of Call]])&lt;=3,YEAR(Calls[[#This Row],[Date of Call]]),YEAR(Calls[[#This Row],[Date of Call]])+1)</f>
        <v>2026</v>
      </c>
      <c r="K980" t="str">
        <f>TEXT(Calls[[#This Row],[Date of Call]],"dddd")</f>
        <v>Tuesday</v>
      </c>
      <c r="L980" t="str">
        <f>TEXT(Calls[[#This Row],[Date of Call]],"mmm")</f>
        <v>Jul</v>
      </c>
    </row>
    <row r="981" spans="1:12" x14ac:dyDescent="0.3">
      <c r="A981" t="s">
        <v>985</v>
      </c>
      <c r="B981" t="s">
        <v>1013</v>
      </c>
      <c r="C981">
        <v>121</v>
      </c>
      <c r="D981" t="s">
        <v>1029</v>
      </c>
      <c r="E981" t="s">
        <v>1228</v>
      </c>
      <c r="F981">
        <v>28</v>
      </c>
      <c r="G981">
        <v>2</v>
      </c>
      <c r="H981">
        <f>ROUND(Calls[[#This Row],[Satisfactory Rating]],0)</f>
        <v>2</v>
      </c>
      <c r="I981" t="str" cm="1">
        <f t="array" ref="I981">_xlfn.IFS(Calls[[#This Row],[Duration (Min)]]&lt;=30,"Under 30 mins",Calls[[#This Row],[Duration (Min)]]&lt;=60,"Under 1h",Calls[[#This Row],[Duration (Min)]]&lt;=120,"Under 2",TRUE,"More than 2h")</f>
        <v>More than 2h</v>
      </c>
      <c r="J981">
        <f>IF(MONTH(Calls[[#This Row],[Date of Call]])&lt;=3,YEAR(Calls[[#This Row],[Date of Call]]),YEAR(Calls[[#This Row],[Date of Call]])+1)</f>
        <v>2026</v>
      </c>
      <c r="K981" t="str">
        <f>TEXT(Calls[[#This Row],[Date of Call]],"dddd")</f>
        <v>Tuesday</v>
      </c>
      <c r="L981" t="str">
        <f>TEXT(Calls[[#This Row],[Date of Call]],"mmm")</f>
        <v>Jul</v>
      </c>
    </row>
    <row r="982" spans="1:12" x14ac:dyDescent="0.3">
      <c r="A982" t="s">
        <v>986</v>
      </c>
      <c r="B982" t="s">
        <v>1011</v>
      </c>
      <c r="C982">
        <v>52</v>
      </c>
      <c r="D982" t="s">
        <v>1032</v>
      </c>
      <c r="E982" t="s">
        <v>1229</v>
      </c>
      <c r="F982">
        <v>64</v>
      </c>
      <c r="G982">
        <v>2.2000000000000002</v>
      </c>
      <c r="H982">
        <f>ROUND(Calls[[#This Row],[Satisfactory Rating]],0)</f>
        <v>2</v>
      </c>
      <c r="I982" t="str" cm="1">
        <f t="array" ref="I982">_xlfn.IFS(Calls[[#This Row],[Duration (Min)]]&lt;=30,"Under 30 mins",Calls[[#This Row],[Duration (Min)]]&lt;=60,"Under 1h",Calls[[#This Row],[Duration (Min)]]&lt;=120,"Under 2",TRUE,"More than 2h")</f>
        <v>Under 1h</v>
      </c>
      <c r="J982">
        <f>IF(MONTH(Calls[[#This Row],[Date of Call]])&lt;=3,YEAR(Calls[[#This Row],[Date of Call]]),YEAR(Calls[[#This Row],[Date of Call]])+1)</f>
        <v>2026</v>
      </c>
      <c r="K982" t="str">
        <f>TEXT(Calls[[#This Row],[Date of Call]],"dddd")</f>
        <v>Wednesday</v>
      </c>
      <c r="L982" t="str">
        <f>TEXT(Calls[[#This Row],[Date of Call]],"mmm")</f>
        <v>Jul</v>
      </c>
    </row>
    <row r="983" spans="1:12" x14ac:dyDescent="0.3">
      <c r="A983" t="s">
        <v>987</v>
      </c>
      <c r="B983" t="s">
        <v>1023</v>
      </c>
      <c r="C983">
        <v>13</v>
      </c>
      <c r="D983" t="s">
        <v>1028</v>
      </c>
      <c r="E983" t="s">
        <v>1229</v>
      </c>
      <c r="F983">
        <v>75</v>
      </c>
      <c r="G983">
        <v>3.8</v>
      </c>
      <c r="H983">
        <f>ROUND(Calls[[#This Row],[Satisfactory Rating]],0)</f>
        <v>4</v>
      </c>
      <c r="I983" t="str" cm="1">
        <f t="array" ref="I983">_xlfn.IFS(Calls[[#This Row],[Duration (Min)]]&lt;=30,"Under 30 mins",Calls[[#This Row],[Duration (Min)]]&lt;=60,"Under 1h",Calls[[#This Row],[Duration (Min)]]&lt;=120,"Under 2",TRUE,"More than 2h")</f>
        <v>Under 30 mins</v>
      </c>
      <c r="J983">
        <f>IF(MONTH(Calls[[#This Row],[Date of Call]])&lt;=3,YEAR(Calls[[#This Row],[Date of Call]]),YEAR(Calls[[#This Row],[Date of Call]])+1)</f>
        <v>2026</v>
      </c>
      <c r="K983" t="str">
        <f>TEXT(Calls[[#This Row],[Date of Call]],"dddd")</f>
        <v>Wednesday</v>
      </c>
      <c r="L983" t="str">
        <f>TEXT(Calls[[#This Row],[Date of Call]],"mmm")</f>
        <v>Jul</v>
      </c>
    </row>
    <row r="984" spans="1:12" x14ac:dyDescent="0.3">
      <c r="A984" t="s">
        <v>988</v>
      </c>
      <c r="B984" t="s">
        <v>1020</v>
      </c>
      <c r="C984">
        <v>56</v>
      </c>
      <c r="D984" t="s">
        <v>1032</v>
      </c>
      <c r="E984" t="s">
        <v>1229</v>
      </c>
      <c r="F984">
        <v>117</v>
      </c>
      <c r="G984">
        <v>3.2</v>
      </c>
      <c r="H984">
        <f>ROUND(Calls[[#This Row],[Satisfactory Rating]],0)</f>
        <v>3</v>
      </c>
      <c r="I984" t="str" cm="1">
        <f t="array" ref="I984">_xlfn.IFS(Calls[[#This Row],[Duration (Min)]]&lt;=30,"Under 30 mins",Calls[[#This Row],[Duration (Min)]]&lt;=60,"Under 1h",Calls[[#This Row],[Duration (Min)]]&lt;=120,"Under 2",TRUE,"More than 2h")</f>
        <v>Under 1h</v>
      </c>
      <c r="J984">
        <f>IF(MONTH(Calls[[#This Row],[Date of Call]])&lt;=3,YEAR(Calls[[#This Row],[Date of Call]]),YEAR(Calls[[#This Row],[Date of Call]])+1)</f>
        <v>2026</v>
      </c>
      <c r="K984" t="str">
        <f>TEXT(Calls[[#This Row],[Date of Call]],"dddd")</f>
        <v>Wednesday</v>
      </c>
      <c r="L984" t="str">
        <f>TEXT(Calls[[#This Row],[Date of Call]],"mmm")</f>
        <v>Jul</v>
      </c>
    </row>
    <row r="985" spans="1:12" x14ac:dyDescent="0.3">
      <c r="A985" t="s">
        <v>989</v>
      </c>
      <c r="B985" t="s">
        <v>1020</v>
      </c>
      <c r="C985">
        <v>62</v>
      </c>
      <c r="D985" t="s">
        <v>1027</v>
      </c>
      <c r="E985" t="s">
        <v>1229</v>
      </c>
      <c r="F985">
        <v>132</v>
      </c>
      <c r="G985">
        <v>4.2</v>
      </c>
      <c r="H985">
        <f>ROUND(Calls[[#This Row],[Satisfactory Rating]],0)</f>
        <v>4</v>
      </c>
      <c r="I985" t="str" cm="1">
        <f t="array" ref="I985">_xlfn.IFS(Calls[[#This Row],[Duration (Min)]]&lt;=30,"Under 30 mins",Calls[[#This Row],[Duration (Min)]]&lt;=60,"Under 1h",Calls[[#This Row],[Duration (Min)]]&lt;=120,"Under 2",TRUE,"More than 2h")</f>
        <v>Under 2</v>
      </c>
      <c r="J985">
        <f>IF(MONTH(Calls[[#This Row],[Date of Call]])&lt;=3,YEAR(Calls[[#This Row],[Date of Call]]),YEAR(Calls[[#This Row],[Date of Call]])+1)</f>
        <v>2026</v>
      </c>
      <c r="K985" t="str">
        <f>TEXT(Calls[[#This Row],[Date of Call]],"dddd")</f>
        <v>Wednesday</v>
      </c>
      <c r="L985" t="str">
        <f>TEXT(Calls[[#This Row],[Date of Call]],"mmm")</f>
        <v>Jul</v>
      </c>
    </row>
    <row r="986" spans="1:12" x14ac:dyDescent="0.3">
      <c r="A986" t="s">
        <v>990</v>
      </c>
      <c r="B986" t="s">
        <v>1020</v>
      </c>
      <c r="C986">
        <v>23</v>
      </c>
      <c r="D986" t="s">
        <v>1027</v>
      </c>
      <c r="E986" t="s">
        <v>1229</v>
      </c>
      <c r="F986">
        <v>87</v>
      </c>
      <c r="G986">
        <v>2.4</v>
      </c>
      <c r="H986">
        <f>ROUND(Calls[[#This Row],[Satisfactory Rating]],0)</f>
        <v>2</v>
      </c>
      <c r="I986" t="str" cm="1">
        <f t="array" ref="I986">_xlfn.IFS(Calls[[#This Row],[Duration (Min)]]&lt;=30,"Under 30 mins",Calls[[#This Row],[Duration (Min)]]&lt;=60,"Under 1h",Calls[[#This Row],[Duration (Min)]]&lt;=120,"Under 2",TRUE,"More than 2h")</f>
        <v>Under 30 mins</v>
      </c>
      <c r="J986">
        <f>IF(MONTH(Calls[[#This Row],[Date of Call]])&lt;=3,YEAR(Calls[[#This Row],[Date of Call]]),YEAR(Calls[[#This Row],[Date of Call]])+1)</f>
        <v>2026</v>
      </c>
      <c r="K986" t="str">
        <f>TEXT(Calls[[#This Row],[Date of Call]],"dddd")</f>
        <v>Wednesday</v>
      </c>
      <c r="L986" t="str">
        <f>TEXT(Calls[[#This Row],[Date of Call]],"mmm")</f>
        <v>Jul</v>
      </c>
    </row>
    <row r="987" spans="1:12" x14ac:dyDescent="0.3">
      <c r="A987" t="s">
        <v>991</v>
      </c>
      <c r="B987" t="s">
        <v>1022</v>
      </c>
      <c r="C987">
        <v>54</v>
      </c>
      <c r="D987" t="s">
        <v>1030</v>
      </c>
      <c r="E987" t="s">
        <v>1230</v>
      </c>
      <c r="F987">
        <v>19</v>
      </c>
      <c r="G987">
        <v>4.7</v>
      </c>
      <c r="H987">
        <f>ROUND(Calls[[#This Row],[Satisfactory Rating]],0)</f>
        <v>5</v>
      </c>
      <c r="I987" t="str" cm="1">
        <f t="array" ref="I987">_xlfn.IFS(Calls[[#This Row],[Duration (Min)]]&lt;=30,"Under 30 mins",Calls[[#This Row],[Duration (Min)]]&lt;=60,"Under 1h",Calls[[#This Row],[Duration (Min)]]&lt;=120,"Under 2",TRUE,"More than 2h")</f>
        <v>Under 1h</v>
      </c>
      <c r="J987">
        <f>IF(MONTH(Calls[[#This Row],[Date of Call]])&lt;=3,YEAR(Calls[[#This Row],[Date of Call]]),YEAR(Calls[[#This Row],[Date of Call]])+1)</f>
        <v>2026</v>
      </c>
      <c r="K987" t="str">
        <f>TEXT(Calls[[#This Row],[Date of Call]],"dddd")</f>
        <v>Thursday</v>
      </c>
      <c r="L987" t="str">
        <f>TEXT(Calls[[#This Row],[Date of Call]],"mmm")</f>
        <v>Jul</v>
      </c>
    </row>
    <row r="988" spans="1:12" x14ac:dyDescent="0.3">
      <c r="A988" t="s">
        <v>992</v>
      </c>
      <c r="B988" t="s">
        <v>1018</v>
      </c>
      <c r="C988">
        <v>81</v>
      </c>
      <c r="D988" t="s">
        <v>1027</v>
      </c>
      <c r="E988" t="s">
        <v>1230</v>
      </c>
      <c r="F988">
        <v>122</v>
      </c>
      <c r="G988">
        <v>3.9</v>
      </c>
      <c r="H988">
        <f>ROUND(Calls[[#This Row],[Satisfactory Rating]],0)</f>
        <v>4</v>
      </c>
      <c r="I988" t="str" cm="1">
        <f t="array" ref="I988">_xlfn.IFS(Calls[[#This Row],[Duration (Min)]]&lt;=30,"Under 30 mins",Calls[[#This Row],[Duration (Min)]]&lt;=60,"Under 1h",Calls[[#This Row],[Duration (Min)]]&lt;=120,"Under 2",TRUE,"More than 2h")</f>
        <v>Under 2</v>
      </c>
      <c r="J988">
        <f>IF(MONTH(Calls[[#This Row],[Date of Call]])&lt;=3,YEAR(Calls[[#This Row],[Date of Call]]),YEAR(Calls[[#This Row],[Date of Call]])+1)</f>
        <v>2026</v>
      </c>
      <c r="K988" t="str">
        <f>TEXT(Calls[[#This Row],[Date of Call]],"dddd")</f>
        <v>Thursday</v>
      </c>
      <c r="L988" t="str">
        <f>TEXT(Calls[[#This Row],[Date of Call]],"mmm")</f>
        <v>Jul</v>
      </c>
    </row>
    <row r="989" spans="1:12" x14ac:dyDescent="0.3">
      <c r="A989" t="s">
        <v>993</v>
      </c>
      <c r="B989" t="s">
        <v>1017</v>
      </c>
      <c r="C989">
        <v>102</v>
      </c>
      <c r="D989" t="s">
        <v>1027</v>
      </c>
      <c r="E989" t="s">
        <v>1230</v>
      </c>
      <c r="F989">
        <v>100</v>
      </c>
      <c r="G989">
        <v>1.6</v>
      </c>
      <c r="H989">
        <f>ROUND(Calls[[#This Row],[Satisfactory Rating]],0)</f>
        <v>2</v>
      </c>
      <c r="I989" t="str" cm="1">
        <f t="array" ref="I989">_xlfn.IFS(Calls[[#This Row],[Duration (Min)]]&lt;=30,"Under 30 mins",Calls[[#This Row],[Duration (Min)]]&lt;=60,"Under 1h",Calls[[#This Row],[Duration (Min)]]&lt;=120,"Under 2",TRUE,"More than 2h")</f>
        <v>Under 2</v>
      </c>
      <c r="J989">
        <f>IF(MONTH(Calls[[#This Row],[Date of Call]])&lt;=3,YEAR(Calls[[#This Row],[Date of Call]]),YEAR(Calls[[#This Row],[Date of Call]])+1)</f>
        <v>2026</v>
      </c>
      <c r="K989" t="str">
        <f>TEXT(Calls[[#This Row],[Date of Call]],"dddd")</f>
        <v>Thursday</v>
      </c>
      <c r="L989" t="str">
        <f>TEXT(Calls[[#This Row],[Date of Call]],"mmm")</f>
        <v>Jul</v>
      </c>
    </row>
    <row r="990" spans="1:12" x14ac:dyDescent="0.3">
      <c r="A990" t="s">
        <v>994</v>
      </c>
      <c r="B990" t="s">
        <v>1025</v>
      </c>
      <c r="C990">
        <v>157</v>
      </c>
      <c r="D990" t="s">
        <v>1032</v>
      </c>
      <c r="E990" t="s">
        <v>1230</v>
      </c>
      <c r="F990">
        <v>20</v>
      </c>
      <c r="G990">
        <v>3</v>
      </c>
      <c r="H990">
        <f>ROUND(Calls[[#This Row],[Satisfactory Rating]],0)</f>
        <v>3</v>
      </c>
      <c r="I990" t="str" cm="1">
        <f t="array" ref="I990">_xlfn.IFS(Calls[[#This Row],[Duration (Min)]]&lt;=30,"Under 30 mins",Calls[[#This Row],[Duration (Min)]]&lt;=60,"Under 1h",Calls[[#This Row],[Duration (Min)]]&lt;=120,"Under 2",TRUE,"More than 2h")</f>
        <v>More than 2h</v>
      </c>
      <c r="J990">
        <f>IF(MONTH(Calls[[#This Row],[Date of Call]])&lt;=3,YEAR(Calls[[#This Row],[Date of Call]]),YEAR(Calls[[#This Row],[Date of Call]])+1)</f>
        <v>2026</v>
      </c>
      <c r="K990" t="str">
        <f>TEXT(Calls[[#This Row],[Date of Call]],"dddd")</f>
        <v>Thursday</v>
      </c>
      <c r="L990" t="str">
        <f>TEXT(Calls[[#This Row],[Date of Call]],"mmm")</f>
        <v>Jul</v>
      </c>
    </row>
    <row r="991" spans="1:12" x14ac:dyDescent="0.3">
      <c r="A991" t="s">
        <v>995</v>
      </c>
      <c r="B991" t="s">
        <v>1017</v>
      </c>
      <c r="C991">
        <v>37</v>
      </c>
      <c r="D991" t="s">
        <v>1026</v>
      </c>
      <c r="E991" t="s">
        <v>1230</v>
      </c>
      <c r="F991">
        <v>64</v>
      </c>
      <c r="G991">
        <v>4.0999999999999996</v>
      </c>
      <c r="H991">
        <f>ROUND(Calls[[#This Row],[Satisfactory Rating]],0)</f>
        <v>4</v>
      </c>
      <c r="I991" t="str" cm="1">
        <f t="array" ref="I991">_xlfn.IFS(Calls[[#This Row],[Duration (Min)]]&lt;=30,"Under 30 mins",Calls[[#This Row],[Duration (Min)]]&lt;=60,"Under 1h",Calls[[#This Row],[Duration (Min)]]&lt;=120,"Under 2",TRUE,"More than 2h")</f>
        <v>Under 1h</v>
      </c>
      <c r="J991">
        <f>IF(MONTH(Calls[[#This Row],[Date of Call]])&lt;=3,YEAR(Calls[[#This Row],[Date of Call]]),YEAR(Calls[[#This Row],[Date of Call]])+1)</f>
        <v>2026</v>
      </c>
      <c r="K991" t="str">
        <f>TEXT(Calls[[#This Row],[Date of Call]],"dddd")</f>
        <v>Thursday</v>
      </c>
      <c r="L991" t="str">
        <f>TEXT(Calls[[#This Row],[Date of Call]],"mmm")</f>
        <v>Jul</v>
      </c>
    </row>
    <row r="992" spans="1:12" x14ac:dyDescent="0.3">
      <c r="A992" t="s">
        <v>996</v>
      </c>
      <c r="B992" t="s">
        <v>1015</v>
      </c>
      <c r="C992">
        <v>139</v>
      </c>
      <c r="D992" t="s">
        <v>1026</v>
      </c>
      <c r="E992" t="s">
        <v>1231</v>
      </c>
      <c r="F992">
        <v>31</v>
      </c>
      <c r="G992">
        <v>3</v>
      </c>
      <c r="H992">
        <f>ROUND(Calls[[#This Row],[Satisfactory Rating]],0)</f>
        <v>3</v>
      </c>
      <c r="I992" t="str" cm="1">
        <f t="array" ref="I992">_xlfn.IFS(Calls[[#This Row],[Duration (Min)]]&lt;=30,"Under 30 mins",Calls[[#This Row],[Duration (Min)]]&lt;=60,"Under 1h",Calls[[#This Row],[Duration (Min)]]&lt;=120,"Under 2",TRUE,"More than 2h")</f>
        <v>More than 2h</v>
      </c>
      <c r="J992">
        <f>IF(MONTH(Calls[[#This Row],[Date of Call]])&lt;=3,YEAR(Calls[[#This Row],[Date of Call]]),YEAR(Calls[[#This Row],[Date of Call]])+1)</f>
        <v>2026</v>
      </c>
      <c r="K992" t="str">
        <f>TEXT(Calls[[#This Row],[Date of Call]],"dddd")</f>
        <v>Friday</v>
      </c>
      <c r="L992" t="str">
        <f>TEXT(Calls[[#This Row],[Date of Call]],"mmm")</f>
        <v>Jul</v>
      </c>
    </row>
    <row r="993" spans="1:12" x14ac:dyDescent="0.3">
      <c r="A993" t="s">
        <v>997</v>
      </c>
      <c r="B993" t="s">
        <v>1015</v>
      </c>
      <c r="C993">
        <v>91</v>
      </c>
      <c r="D993" t="s">
        <v>1032</v>
      </c>
      <c r="E993" t="s">
        <v>1231</v>
      </c>
      <c r="F993">
        <v>92</v>
      </c>
      <c r="G993">
        <v>2.9</v>
      </c>
      <c r="H993">
        <f>ROUND(Calls[[#This Row],[Satisfactory Rating]],0)</f>
        <v>3</v>
      </c>
      <c r="I993" t="str" cm="1">
        <f t="array" ref="I993">_xlfn.IFS(Calls[[#This Row],[Duration (Min)]]&lt;=30,"Under 30 mins",Calls[[#This Row],[Duration (Min)]]&lt;=60,"Under 1h",Calls[[#This Row],[Duration (Min)]]&lt;=120,"Under 2",TRUE,"More than 2h")</f>
        <v>Under 2</v>
      </c>
      <c r="J993">
        <f>IF(MONTH(Calls[[#This Row],[Date of Call]])&lt;=3,YEAR(Calls[[#This Row],[Date of Call]]),YEAR(Calls[[#This Row],[Date of Call]])+1)</f>
        <v>2026</v>
      </c>
      <c r="K993" t="str">
        <f>TEXT(Calls[[#This Row],[Date of Call]],"dddd")</f>
        <v>Friday</v>
      </c>
      <c r="L993" t="str">
        <f>TEXT(Calls[[#This Row],[Date of Call]],"mmm")</f>
        <v>Jul</v>
      </c>
    </row>
    <row r="994" spans="1:12" x14ac:dyDescent="0.3">
      <c r="A994" t="s">
        <v>998</v>
      </c>
      <c r="B994" t="s">
        <v>1022</v>
      </c>
      <c r="C994">
        <v>87</v>
      </c>
      <c r="D994" t="s">
        <v>1031</v>
      </c>
      <c r="E994" t="s">
        <v>1231</v>
      </c>
      <c r="F994">
        <v>57</v>
      </c>
      <c r="G994">
        <v>2.2999999999999998</v>
      </c>
      <c r="H994">
        <f>ROUND(Calls[[#This Row],[Satisfactory Rating]],0)</f>
        <v>2</v>
      </c>
      <c r="I994" t="str" cm="1">
        <f t="array" ref="I994">_xlfn.IFS(Calls[[#This Row],[Duration (Min)]]&lt;=30,"Under 30 mins",Calls[[#This Row],[Duration (Min)]]&lt;=60,"Under 1h",Calls[[#This Row],[Duration (Min)]]&lt;=120,"Under 2",TRUE,"More than 2h")</f>
        <v>Under 2</v>
      </c>
      <c r="J994">
        <f>IF(MONTH(Calls[[#This Row],[Date of Call]])&lt;=3,YEAR(Calls[[#This Row],[Date of Call]]),YEAR(Calls[[#This Row],[Date of Call]])+1)</f>
        <v>2026</v>
      </c>
      <c r="K994" t="str">
        <f>TEXT(Calls[[#This Row],[Date of Call]],"dddd")</f>
        <v>Friday</v>
      </c>
      <c r="L994" t="str">
        <f>TEXT(Calls[[#This Row],[Date of Call]],"mmm")</f>
        <v>Jul</v>
      </c>
    </row>
    <row r="995" spans="1:12" x14ac:dyDescent="0.3">
      <c r="A995" t="s">
        <v>999</v>
      </c>
      <c r="B995" t="s">
        <v>1009</v>
      </c>
      <c r="C995">
        <v>121</v>
      </c>
      <c r="D995" t="s">
        <v>1027</v>
      </c>
      <c r="E995" t="s">
        <v>1231</v>
      </c>
      <c r="F995">
        <v>79</v>
      </c>
      <c r="G995">
        <v>1.2</v>
      </c>
      <c r="H995">
        <f>ROUND(Calls[[#This Row],[Satisfactory Rating]],0)</f>
        <v>1</v>
      </c>
      <c r="I995" t="str" cm="1">
        <f t="array" ref="I995">_xlfn.IFS(Calls[[#This Row],[Duration (Min)]]&lt;=30,"Under 30 mins",Calls[[#This Row],[Duration (Min)]]&lt;=60,"Under 1h",Calls[[#This Row],[Duration (Min)]]&lt;=120,"Under 2",TRUE,"More than 2h")</f>
        <v>More than 2h</v>
      </c>
      <c r="J995">
        <f>IF(MONTH(Calls[[#This Row],[Date of Call]])&lt;=3,YEAR(Calls[[#This Row],[Date of Call]]),YEAR(Calls[[#This Row],[Date of Call]])+1)</f>
        <v>2026</v>
      </c>
      <c r="K995" t="str">
        <f>TEXT(Calls[[#This Row],[Date of Call]],"dddd")</f>
        <v>Friday</v>
      </c>
      <c r="L995" t="str">
        <f>TEXT(Calls[[#This Row],[Date of Call]],"mmm")</f>
        <v>Jul</v>
      </c>
    </row>
    <row r="996" spans="1:12" x14ac:dyDescent="0.3">
      <c r="A996" t="s">
        <v>1000</v>
      </c>
      <c r="B996" t="s">
        <v>1021</v>
      </c>
      <c r="C996">
        <v>27</v>
      </c>
      <c r="D996" t="s">
        <v>1029</v>
      </c>
      <c r="E996" t="s">
        <v>1231</v>
      </c>
      <c r="F996">
        <v>108</v>
      </c>
      <c r="G996">
        <v>3.5</v>
      </c>
      <c r="H996">
        <f>ROUND(Calls[[#This Row],[Satisfactory Rating]],0)</f>
        <v>4</v>
      </c>
      <c r="I996" t="str" cm="1">
        <f t="array" ref="I996">_xlfn.IFS(Calls[[#This Row],[Duration (Min)]]&lt;=30,"Under 30 mins",Calls[[#This Row],[Duration (Min)]]&lt;=60,"Under 1h",Calls[[#This Row],[Duration (Min)]]&lt;=120,"Under 2",TRUE,"More than 2h")</f>
        <v>Under 30 mins</v>
      </c>
      <c r="J996">
        <f>IF(MONTH(Calls[[#This Row],[Date of Call]])&lt;=3,YEAR(Calls[[#This Row],[Date of Call]]),YEAR(Calls[[#This Row],[Date of Call]])+1)</f>
        <v>2026</v>
      </c>
      <c r="K996" t="str">
        <f>TEXT(Calls[[#This Row],[Date of Call]],"dddd")</f>
        <v>Friday</v>
      </c>
      <c r="L996" t="str">
        <f>TEXT(Calls[[#This Row],[Date of Call]],"mmm")</f>
        <v>Jul</v>
      </c>
    </row>
    <row r="997" spans="1:12" x14ac:dyDescent="0.3">
      <c r="A997" t="s">
        <v>1001</v>
      </c>
      <c r="B997" t="s">
        <v>1022</v>
      </c>
      <c r="C997">
        <v>159</v>
      </c>
      <c r="D997" t="s">
        <v>1030</v>
      </c>
      <c r="E997" t="s">
        <v>1232</v>
      </c>
      <c r="F997">
        <v>26</v>
      </c>
      <c r="G997">
        <v>4.7</v>
      </c>
      <c r="H997">
        <f>ROUND(Calls[[#This Row],[Satisfactory Rating]],0)</f>
        <v>5</v>
      </c>
      <c r="I997" t="str" cm="1">
        <f t="array" ref="I997">_xlfn.IFS(Calls[[#This Row],[Duration (Min)]]&lt;=30,"Under 30 mins",Calls[[#This Row],[Duration (Min)]]&lt;=60,"Under 1h",Calls[[#This Row],[Duration (Min)]]&lt;=120,"Under 2",TRUE,"More than 2h")</f>
        <v>More than 2h</v>
      </c>
      <c r="J997">
        <f>IF(MONTH(Calls[[#This Row],[Date of Call]])&lt;=3,YEAR(Calls[[#This Row],[Date of Call]]),YEAR(Calls[[#This Row],[Date of Call]])+1)</f>
        <v>2026</v>
      </c>
      <c r="K997" t="str">
        <f>TEXT(Calls[[#This Row],[Date of Call]],"dddd")</f>
        <v>Saturday</v>
      </c>
      <c r="L997" t="str">
        <f>TEXT(Calls[[#This Row],[Date of Call]],"mmm")</f>
        <v>Jul</v>
      </c>
    </row>
    <row r="998" spans="1:12" x14ac:dyDescent="0.3">
      <c r="A998" t="s">
        <v>1002</v>
      </c>
      <c r="B998" t="s">
        <v>1014</v>
      </c>
      <c r="C998">
        <v>12</v>
      </c>
      <c r="D998" t="s">
        <v>1028</v>
      </c>
      <c r="E998" t="s">
        <v>1232</v>
      </c>
      <c r="F998">
        <v>123</v>
      </c>
      <c r="G998">
        <v>3</v>
      </c>
      <c r="H998">
        <f>ROUND(Calls[[#This Row],[Satisfactory Rating]],0)</f>
        <v>3</v>
      </c>
      <c r="I998" t="str" cm="1">
        <f t="array" ref="I998">_xlfn.IFS(Calls[[#This Row],[Duration (Min)]]&lt;=30,"Under 30 mins",Calls[[#This Row],[Duration (Min)]]&lt;=60,"Under 1h",Calls[[#This Row],[Duration (Min)]]&lt;=120,"Under 2",TRUE,"More than 2h")</f>
        <v>Under 30 mins</v>
      </c>
      <c r="J998">
        <f>IF(MONTH(Calls[[#This Row],[Date of Call]])&lt;=3,YEAR(Calls[[#This Row],[Date of Call]]),YEAR(Calls[[#This Row],[Date of Call]])+1)</f>
        <v>2026</v>
      </c>
      <c r="K998" t="str">
        <f>TEXT(Calls[[#This Row],[Date of Call]],"dddd")</f>
        <v>Saturday</v>
      </c>
      <c r="L998" t="str">
        <f>TEXT(Calls[[#This Row],[Date of Call]],"mmm")</f>
        <v>Jul</v>
      </c>
    </row>
    <row r="999" spans="1:12" x14ac:dyDescent="0.3">
      <c r="A999" t="s">
        <v>1003</v>
      </c>
      <c r="B999" t="s">
        <v>1022</v>
      </c>
      <c r="C999">
        <v>144</v>
      </c>
      <c r="D999" t="s">
        <v>1030</v>
      </c>
      <c r="E999" t="s">
        <v>1232</v>
      </c>
      <c r="F999">
        <v>105</v>
      </c>
      <c r="G999">
        <v>2.5</v>
      </c>
      <c r="H999">
        <f>ROUND(Calls[[#This Row],[Satisfactory Rating]],0)</f>
        <v>3</v>
      </c>
      <c r="I999" t="str" cm="1">
        <f t="array" ref="I999">_xlfn.IFS(Calls[[#This Row],[Duration (Min)]]&lt;=30,"Under 30 mins",Calls[[#This Row],[Duration (Min)]]&lt;=60,"Under 1h",Calls[[#This Row],[Duration (Min)]]&lt;=120,"Under 2",TRUE,"More than 2h")</f>
        <v>More than 2h</v>
      </c>
      <c r="J999">
        <f>IF(MONTH(Calls[[#This Row],[Date of Call]])&lt;=3,YEAR(Calls[[#This Row],[Date of Call]]),YEAR(Calls[[#This Row],[Date of Call]])+1)</f>
        <v>2026</v>
      </c>
      <c r="K999" t="str">
        <f>TEXT(Calls[[#This Row],[Date of Call]],"dddd")</f>
        <v>Saturday</v>
      </c>
      <c r="L999" t="str">
        <f>TEXT(Calls[[#This Row],[Date of Call]],"mmm")</f>
        <v>Jul</v>
      </c>
    </row>
    <row r="1000" spans="1:12" x14ac:dyDescent="0.3">
      <c r="A1000" t="s">
        <v>1004</v>
      </c>
      <c r="B1000" t="s">
        <v>1010</v>
      </c>
      <c r="C1000">
        <v>26</v>
      </c>
      <c r="D1000" t="s">
        <v>1030</v>
      </c>
      <c r="E1000" t="s">
        <v>1232</v>
      </c>
      <c r="F1000">
        <v>113</v>
      </c>
      <c r="G1000">
        <v>1.3</v>
      </c>
      <c r="H1000">
        <f>ROUND(Calls[[#This Row],[Satisfactory Rating]],0)</f>
        <v>1</v>
      </c>
      <c r="I1000" t="str" cm="1">
        <f t="array" ref="I1000">_xlfn.IFS(Calls[[#This Row],[Duration (Min)]]&lt;=30,"Under 30 mins",Calls[[#This Row],[Duration (Min)]]&lt;=60,"Under 1h",Calls[[#This Row],[Duration (Min)]]&lt;=120,"Under 2",TRUE,"More than 2h")</f>
        <v>Under 30 mins</v>
      </c>
      <c r="J1000">
        <f>IF(MONTH(Calls[[#This Row],[Date of Call]])&lt;=3,YEAR(Calls[[#This Row],[Date of Call]]),YEAR(Calls[[#This Row],[Date of Call]])+1)</f>
        <v>2026</v>
      </c>
      <c r="K1000" t="str">
        <f>TEXT(Calls[[#This Row],[Date of Call]],"dddd")</f>
        <v>Saturday</v>
      </c>
      <c r="L1000" t="str">
        <f>TEXT(Calls[[#This Row],[Date of Call]],"mmm")</f>
        <v>Jul</v>
      </c>
    </row>
    <row r="1001" spans="1:12" x14ac:dyDescent="0.3">
      <c r="A1001" t="s">
        <v>1005</v>
      </c>
      <c r="B1001" t="s">
        <v>1007</v>
      </c>
      <c r="C1001">
        <v>112</v>
      </c>
      <c r="D1001" t="s">
        <v>1027</v>
      </c>
      <c r="E1001" t="s">
        <v>1232</v>
      </c>
      <c r="F1001">
        <v>81</v>
      </c>
      <c r="G1001">
        <v>1.5</v>
      </c>
      <c r="H1001">
        <f>ROUND(Calls[[#This Row],[Satisfactory Rating]],0)</f>
        <v>2</v>
      </c>
      <c r="I1001" t="str" cm="1">
        <f t="array" ref="I1001">_xlfn.IFS(Calls[[#This Row],[Duration (Min)]]&lt;=30,"Under 30 mins",Calls[[#This Row],[Duration (Min)]]&lt;=60,"Under 1h",Calls[[#This Row],[Duration (Min)]]&lt;=120,"Under 2",TRUE,"More than 2h")</f>
        <v>Under 2</v>
      </c>
      <c r="J1001">
        <f>IF(MONTH(Calls[[#This Row],[Date of Call]])&lt;=3,YEAR(Calls[[#This Row],[Date of Call]]),YEAR(Calls[[#This Row],[Date of Call]])+1)</f>
        <v>2026</v>
      </c>
      <c r="K1001" t="str">
        <f>TEXT(Calls[[#This Row],[Date of Call]],"dddd")</f>
        <v>Saturday</v>
      </c>
      <c r="L1001" t="str">
        <f>TEXT(Calls[[#This Row],[Date of Call]],"mmm")</f>
        <v>Jul</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6FA5-D514-4889-8219-5F920362B849}">
  <dimension ref="A2:V64"/>
  <sheetViews>
    <sheetView topLeftCell="F16" zoomScale="102" zoomScaleNormal="102" workbookViewId="0">
      <selection activeCell="P35" sqref="P35"/>
    </sheetView>
  </sheetViews>
  <sheetFormatPr defaultRowHeight="14.4" x14ac:dyDescent="0.3"/>
  <cols>
    <col min="1" max="1" width="12.88671875" bestFit="1" customWidth="1"/>
    <col min="2" max="2" width="9.6640625" bestFit="1" customWidth="1"/>
    <col min="3" max="3" width="10.77734375" bestFit="1" customWidth="1"/>
    <col min="4" max="4" width="13.44140625" bestFit="1" customWidth="1"/>
    <col min="5" max="5" width="12.88671875" bestFit="1" customWidth="1"/>
    <col min="6" max="6" width="9.6640625" bestFit="1" customWidth="1"/>
    <col min="7" max="7" width="10" customWidth="1"/>
    <col min="8" max="8" width="6.88671875" bestFit="1" customWidth="1"/>
    <col min="9" max="9" width="10.77734375" bestFit="1" customWidth="1"/>
    <col min="10" max="10" width="12.5546875" bestFit="1" customWidth="1"/>
    <col min="11" max="11" width="15.5546875" bestFit="1" customWidth="1"/>
    <col min="12" max="12" width="5.21875" bestFit="1" customWidth="1"/>
    <col min="13" max="13" width="10.77734375" bestFit="1" customWidth="1"/>
    <col min="14" max="14" width="19.33203125" bestFit="1" customWidth="1"/>
    <col min="15" max="15" width="12.88671875" bestFit="1" customWidth="1"/>
    <col min="16" max="16" width="9.6640625" bestFit="1" customWidth="1"/>
    <col min="17" max="17" width="10.77734375" customWidth="1"/>
    <col min="18" max="18" width="11.21875" customWidth="1"/>
    <col min="22" max="22" width="12.88671875" bestFit="1" customWidth="1"/>
  </cols>
  <sheetData>
    <row r="2" spans="1:22" x14ac:dyDescent="0.3">
      <c r="A2" s="12">
        <v>1</v>
      </c>
      <c r="J2" s="12">
        <v>4</v>
      </c>
    </row>
    <row r="3" spans="1:22" x14ac:dyDescent="0.3">
      <c r="A3" t="s">
        <v>1249</v>
      </c>
      <c r="B3" t="s">
        <v>1253</v>
      </c>
      <c r="C3" t="s">
        <v>1252</v>
      </c>
      <c r="D3" t="s">
        <v>1251</v>
      </c>
      <c r="E3" t="s">
        <v>1250</v>
      </c>
      <c r="J3" s="2" t="s">
        <v>1238</v>
      </c>
      <c r="K3" t="s">
        <v>1249</v>
      </c>
      <c r="L3" t="s">
        <v>1250</v>
      </c>
      <c r="N3" t="s">
        <v>1270</v>
      </c>
      <c r="P3" t="s">
        <v>1276</v>
      </c>
      <c r="Q3" t="str">
        <f>V4</f>
        <v>R005</v>
      </c>
      <c r="V3" s="2" t="s">
        <v>1238</v>
      </c>
    </row>
    <row r="4" spans="1:22" x14ac:dyDescent="0.3">
      <c r="A4" s="5">
        <v>1000</v>
      </c>
      <c r="B4" s="5">
        <v>143</v>
      </c>
      <c r="C4" s="6">
        <v>3.0308999999999995</v>
      </c>
      <c r="D4" s="5">
        <v>87436</v>
      </c>
      <c r="E4" s="13">
        <v>84607</v>
      </c>
      <c r="J4" s="3" t="s">
        <v>1027</v>
      </c>
      <c r="K4" s="5">
        <v>148</v>
      </c>
      <c r="L4" s="13">
        <v>13162</v>
      </c>
      <c r="N4" s="10" t="s">
        <v>1271</v>
      </c>
      <c r="O4" s="10" t="s">
        <v>1272</v>
      </c>
      <c r="P4" s="10" t="s">
        <v>1273</v>
      </c>
      <c r="Q4" s="10" t="s">
        <v>1275</v>
      </c>
      <c r="R4" s="10" t="s">
        <v>1274</v>
      </c>
      <c r="V4" s="3" t="s">
        <v>1029</v>
      </c>
    </row>
    <row r="5" spans="1:22" x14ac:dyDescent="0.3">
      <c r="J5" s="3" t="s">
        <v>1031</v>
      </c>
      <c r="K5" s="5">
        <v>171</v>
      </c>
      <c r="L5" s="13">
        <v>14586</v>
      </c>
      <c r="N5" s="3" t="s">
        <v>1027</v>
      </c>
      <c r="O5" s="5">
        <v>148</v>
      </c>
      <c r="P5" s="9">
        <v>13162</v>
      </c>
      <c r="Q5" t="e">
        <f>IF(N5=$Q$3,O5,NA())</f>
        <v>#N/A</v>
      </c>
      <c r="R5" s="11" t="e">
        <f>IF(N5=$Q$3,P5,NA())</f>
        <v>#N/A</v>
      </c>
    </row>
    <row r="6" spans="1:22" x14ac:dyDescent="0.3">
      <c r="J6" s="3" t="s">
        <v>1030</v>
      </c>
      <c r="K6" s="5">
        <v>147</v>
      </c>
      <c r="L6" s="13">
        <v>12499</v>
      </c>
      <c r="N6" s="3" t="s">
        <v>1031</v>
      </c>
      <c r="O6" s="5">
        <v>171</v>
      </c>
      <c r="P6" s="9">
        <v>14586</v>
      </c>
      <c r="Q6" t="e">
        <f t="shared" ref="Q6:Q11" si="0">IF(N6=$Q$3,O6,NA())</f>
        <v>#N/A</v>
      </c>
      <c r="R6" s="11" t="e">
        <f t="shared" ref="R6:R11" si="1">IF(N6=$Q$3,P6,NA())</f>
        <v>#N/A</v>
      </c>
    </row>
    <row r="7" spans="1:22" x14ac:dyDescent="0.3">
      <c r="J7" s="3" t="s">
        <v>1028</v>
      </c>
      <c r="K7" s="5">
        <v>140</v>
      </c>
      <c r="L7" s="13">
        <v>11736</v>
      </c>
      <c r="N7" s="3" t="s">
        <v>1030</v>
      </c>
      <c r="O7" s="5">
        <v>147</v>
      </c>
      <c r="P7" s="9">
        <v>12499</v>
      </c>
      <c r="Q7" t="e">
        <f t="shared" si="0"/>
        <v>#N/A</v>
      </c>
      <c r="R7" s="11" t="e">
        <f t="shared" si="1"/>
        <v>#N/A</v>
      </c>
    </row>
    <row r="8" spans="1:22" x14ac:dyDescent="0.3">
      <c r="J8" s="3" t="s">
        <v>1029</v>
      </c>
      <c r="K8" s="5">
        <v>118</v>
      </c>
      <c r="L8" s="13">
        <v>9359</v>
      </c>
      <c r="N8" s="3" t="s">
        <v>1028</v>
      </c>
      <c r="O8" s="5">
        <v>140</v>
      </c>
      <c r="P8" s="9">
        <v>11736</v>
      </c>
      <c r="Q8" t="e">
        <f t="shared" si="0"/>
        <v>#N/A</v>
      </c>
      <c r="R8" s="11" t="e">
        <f t="shared" si="1"/>
        <v>#N/A</v>
      </c>
    </row>
    <row r="9" spans="1:22" x14ac:dyDescent="0.3">
      <c r="J9" s="3" t="s">
        <v>1026</v>
      </c>
      <c r="K9" s="5">
        <v>141</v>
      </c>
      <c r="L9" s="13">
        <v>11766</v>
      </c>
      <c r="N9" s="3" t="s">
        <v>1029</v>
      </c>
      <c r="O9" s="5">
        <v>118</v>
      </c>
      <c r="P9" s="9">
        <v>9359</v>
      </c>
      <c r="Q9">
        <f t="shared" si="0"/>
        <v>118</v>
      </c>
      <c r="R9" s="11">
        <f t="shared" si="1"/>
        <v>9359</v>
      </c>
    </row>
    <row r="10" spans="1:22" x14ac:dyDescent="0.3">
      <c r="A10" t="s">
        <v>1249</v>
      </c>
      <c r="B10" t="s">
        <v>1253</v>
      </c>
      <c r="C10" t="s">
        <v>1252</v>
      </c>
      <c r="D10" t="s">
        <v>1251</v>
      </c>
      <c r="E10" t="s">
        <v>1250</v>
      </c>
      <c r="J10" s="3" t="s">
        <v>1032</v>
      </c>
      <c r="K10" s="5">
        <v>135</v>
      </c>
      <c r="L10" s="13">
        <v>11499</v>
      </c>
      <c r="N10" s="3" t="s">
        <v>1026</v>
      </c>
      <c r="O10" s="5">
        <v>141</v>
      </c>
      <c r="P10" s="9">
        <v>11766</v>
      </c>
      <c r="Q10" t="e">
        <f t="shared" si="0"/>
        <v>#N/A</v>
      </c>
      <c r="R10" s="11" t="e">
        <f t="shared" si="1"/>
        <v>#N/A</v>
      </c>
    </row>
    <row r="11" spans="1:22" x14ac:dyDescent="0.3">
      <c r="A11" s="5">
        <v>118</v>
      </c>
      <c r="B11" s="5">
        <v>14</v>
      </c>
      <c r="C11" s="6">
        <v>3.0110169491525425</v>
      </c>
      <c r="D11" s="5">
        <v>11072</v>
      </c>
      <c r="E11" s="13">
        <v>9359</v>
      </c>
      <c r="J11" s="3" t="s">
        <v>1239</v>
      </c>
      <c r="K11" s="5">
        <v>1000</v>
      </c>
      <c r="L11" s="13">
        <v>84607</v>
      </c>
      <c r="N11" s="3" t="s">
        <v>1032</v>
      </c>
      <c r="O11" s="5">
        <v>135</v>
      </c>
      <c r="P11" s="9">
        <v>11499</v>
      </c>
      <c r="Q11" t="e">
        <f t="shared" si="0"/>
        <v>#N/A</v>
      </c>
      <c r="R11" s="11" t="e">
        <f t="shared" si="1"/>
        <v>#N/A</v>
      </c>
    </row>
    <row r="14" spans="1:22" x14ac:dyDescent="0.3">
      <c r="A14" s="12">
        <v>2</v>
      </c>
      <c r="E14" s="12">
        <v>3</v>
      </c>
      <c r="J14" s="12">
        <v>5</v>
      </c>
      <c r="O14" s="14">
        <v>6</v>
      </c>
    </row>
    <row r="15" spans="1:22" x14ac:dyDescent="0.3">
      <c r="A15" s="2" t="s">
        <v>1238</v>
      </c>
      <c r="B15" t="s">
        <v>1249</v>
      </c>
      <c r="C15" t="s">
        <v>1262</v>
      </c>
      <c r="E15" s="2" t="s">
        <v>1238</v>
      </c>
      <c r="F15" t="s">
        <v>1249</v>
      </c>
      <c r="J15" s="2" t="s">
        <v>1249</v>
      </c>
      <c r="K15" s="2" t="s">
        <v>1277</v>
      </c>
      <c r="O15" s="2" t="s">
        <v>1238</v>
      </c>
      <c r="P15" t="s">
        <v>1249</v>
      </c>
    </row>
    <row r="16" spans="1:22" x14ac:dyDescent="0.3">
      <c r="A16" s="3" t="s">
        <v>1255</v>
      </c>
      <c r="B16" s="5">
        <v>12</v>
      </c>
      <c r="C16" s="5">
        <v>12</v>
      </c>
      <c r="E16" s="3" t="s">
        <v>1266</v>
      </c>
      <c r="F16" s="5">
        <v>15</v>
      </c>
      <c r="J16" s="2" t="s">
        <v>1238</v>
      </c>
      <c r="K16" t="s">
        <v>1241</v>
      </c>
      <c r="L16" t="s">
        <v>1242</v>
      </c>
      <c r="M16" t="s">
        <v>1239</v>
      </c>
      <c r="O16" s="3">
        <v>1</v>
      </c>
      <c r="P16" s="5">
        <v>12</v>
      </c>
    </row>
    <row r="17" spans="1:19" x14ac:dyDescent="0.3">
      <c r="A17" s="3" t="s">
        <v>1256</v>
      </c>
      <c r="B17" s="5">
        <v>20</v>
      </c>
      <c r="C17" s="5">
        <v>20</v>
      </c>
      <c r="E17" s="3" t="s">
        <v>1264</v>
      </c>
      <c r="F17" s="5">
        <v>16</v>
      </c>
      <c r="J17" s="3" t="s">
        <v>1245</v>
      </c>
      <c r="K17" s="5">
        <v>182</v>
      </c>
      <c r="L17" s="5">
        <v>96</v>
      </c>
      <c r="M17" s="5">
        <v>278</v>
      </c>
      <c r="O17" s="3">
        <v>2</v>
      </c>
      <c r="P17" s="5">
        <v>30</v>
      </c>
    </row>
    <row r="18" spans="1:19" x14ac:dyDescent="0.3">
      <c r="A18" s="3" t="s">
        <v>1257</v>
      </c>
      <c r="B18" s="5">
        <v>20</v>
      </c>
      <c r="C18" s="5">
        <v>20</v>
      </c>
      <c r="E18" s="3" t="s">
        <v>1268</v>
      </c>
      <c r="F18" s="5">
        <v>19</v>
      </c>
      <c r="J18" s="3" t="s">
        <v>1246</v>
      </c>
      <c r="K18" s="5">
        <v>124</v>
      </c>
      <c r="L18" s="5">
        <v>48</v>
      </c>
      <c r="M18" s="5">
        <v>172</v>
      </c>
      <c r="O18" s="3">
        <v>3</v>
      </c>
      <c r="P18" s="5">
        <v>29</v>
      </c>
    </row>
    <row r="19" spans="1:19" x14ac:dyDescent="0.3">
      <c r="A19" s="3" t="s">
        <v>1258</v>
      </c>
      <c r="B19" s="5">
        <v>13</v>
      </c>
      <c r="C19" s="5">
        <v>13</v>
      </c>
      <c r="E19" s="3" t="s">
        <v>1269</v>
      </c>
      <c r="F19" s="5">
        <v>17</v>
      </c>
      <c r="J19" s="3" t="s">
        <v>1248</v>
      </c>
      <c r="K19" s="5"/>
      <c r="L19" s="5">
        <v>280</v>
      </c>
      <c r="M19" s="5">
        <v>280</v>
      </c>
      <c r="O19" s="3">
        <v>4</v>
      </c>
      <c r="P19" s="5">
        <v>33</v>
      </c>
    </row>
    <row r="20" spans="1:19" x14ac:dyDescent="0.3">
      <c r="A20" s="3" t="s">
        <v>1259</v>
      </c>
      <c r="B20" s="5">
        <v>19</v>
      </c>
      <c r="C20" s="5">
        <v>19</v>
      </c>
      <c r="E20" s="3" t="s">
        <v>1267</v>
      </c>
      <c r="F20" s="5">
        <v>16</v>
      </c>
      <c r="J20" s="3" t="s">
        <v>1247</v>
      </c>
      <c r="K20" s="5">
        <v>210</v>
      </c>
      <c r="L20" s="5">
        <v>60</v>
      </c>
      <c r="M20" s="5">
        <v>270</v>
      </c>
      <c r="O20" s="3">
        <v>5</v>
      </c>
      <c r="P20" s="5">
        <v>14</v>
      </c>
    </row>
    <row r="21" spans="1:19" x14ac:dyDescent="0.3">
      <c r="A21" s="3" t="s">
        <v>1260</v>
      </c>
      <c r="B21" s="5">
        <v>22</v>
      </c>
      <c r="C21" s="5">
        <v>22</v>
      </c>
      <c r="E21" s="3" t="s">
        <v>1263</v>
      </c>
      <c r="F21" s="5">
        <v>19</v>
      </c>
      <c r="J21" s="3" t="s">
        <v>1239</v>
      </c>
      <c r="K21" s="5">
        <v>516</v>
      </c>
      <c r="L21" s="5">
        <v>484</v>
      </c>
      <c r="M21" s="5">
        <v>1000</v>
      </c>
      <c r="O21" s="3" t="s">
        <v>1239</v>
      </c>
      <c r="P21" s="5">
        <v>118</v>
      </c>
    </row>
    <row r="22" spans="1:19" x14ac:dyDescent="0.3">
      <c r="A22" s="3" t="s">
        <v>1261</v>
      </c>
      <c r="B22" s="5">
        <v>12</v>
      </c>
      <c r="C22" s="5">
        <v>12</v>
      </c>
      <c r="E22" s="3" t="s">
        <v>1265</v>
      </c>
      <c r="F22" s="5">
        <v>16</v>
      </c>
    </row>
    <row r="23" spans="1:19" x14ac:dyDescent="0.3">
      <c r="A23" s="3" t="s">
        <v>1239</v>
      </c>
      <c r="B23" s="5">
        <v>118</v>
      </c>
      <c r="C23" s="5">
        <v>118</v>
      </c>
      <c r="E23" s="3" t="s">
        <v>1239</v>
      </c>
      <c r="F23" s="5">
        <v>118</v>
      </c>
    </row>
    <row r="26" spans="1:19" x14ac:dyDescent="0.3">
      <c r="A26" s="12">
        <v>7</v>
      </c>
      <c r="B26" s="14">
        <v>7</v>
      </c>
    </row>
    <row r="27" spans="1:19" x14ac:dyDescent="0.3">
      <c r="A27" s="2" t="s">
        <v>1250</v>
      </c>
      <c r="B27" s="2" t="s">
        <v>1277</v>
      </c>
      <c r="M27" s="12">
        <v>8</v>
      </c>
      <c r="P27" s="10" t="s">
        <v>1284</v>
      </c>
      <c r="R27" s="10" t="s">
        <v>1271</v>
      </c>
      <c r="S27" s="10" t="s">
        <v>1285</v>
      </c>
    </row>
    <row r="28" spans="1:19" x14ac:dyDescent="0.3">
      <c r="A28" s="2" t="s">
        <v>1238</v>
      </c>
      <c r="B28" t="s">
        <v>1027</v>
      </c>
      <c r="C28" t="s">
        <v>1031</v>
      </c>
      <c r="D28" t="s">
        <v>1030</v>
      </c>
      <c r="E28" t="s">
        <v>1028</v>
      </c>
      <c r="F28" t="s">
        <v>1029</v>
      </c>
      <c r="G28" t="s">
        <v>1026</v>
      </c>
      <c r="H28" t="s">
        <v>1032</v>
      </c>
      <c r="I28" t="s">
        <v>1239</v>
      </c>
      <c r="R28" t="s">
        <v>1027</v>
      </c>
      <c r="S28" t="s">
        <v>1286</v>
      </c>
    </row>
    <row r="29" spans="1:19" x14ac:dyDescent="0.3">
      <c r="A29" s="3" t="s">
        <v>1245</v>
      </c>
      <c r="M29" t="s">
        <v>1279</v>
      </c>
      <c r="N29" s="31">
        <f>A11/A4</f>
        <v>0.11799999999999999</v>
      </c>
      <c r="P29" t="str">
        <f>"% of Calls:"&amp;TEXT(N29,"0%")</f>
        <v>% of Calls:12%</v>
      </c>
      <c r="R29" t="s">
        <v>1031</v>
      </c>
      <c r="S29" t="s">
        <v>1287</v>
      </c>
    </row>
    <row r="30" spans="1:19" x14ac:dyDescent="0.3">
      <c r="A30" s="15" t="s">
        <v>1018</v>
      </c>
      <c r="B30" s="13">
        <v>339</v>
      </c>
      <c r="C30" s="13">
        <v>568</v>
      </c>
      <c r="D30" s="13">
        <v>767</v>
      </c>
      <c r="E30" s="13">
        <v>341</v>
      </c>
      <c r="F30" s="13">
        <v>237</v>
      </c>
      <c r="G30" s="13">
        <v>800</v>
      </c>
      <c r="H30" s="13">
        <v>331</v>
      </c>
      <c r="I30" s="13">
        <v>3383</v>
      </c>
      <c r="M30" t="s">
        <v>1280</v>
      </c>
      <c r="N30">
        <f>_xlfn.XLOOKUP(V4,N5:N11,O5:O11)</f>
        <v>118</v>
      </c>
      <c r="P30" t="str">
        <f>IF(COUNTA(V4:V10)&gt;1,"","Call Rank:"&amp;N30)</f>
        <v>Call Rank:118</v>
      </c>
      <c r="R30" t="s">
        <v>1030</v>
      </c>
      <c r="S30" t="s">
        <v>1288</v>
      </c>
    </row>
    <row r="31" spans="1:19" x14ac:dyDescent="0.3">
      <c r="A31" s="15" t="s">
        <v>1022</v>
      </c>
      <c r="B31" s="13">
        <v>245</v>
      </c>
      <c r="C31" s="13">
        <v>1052</v>
      </c>
      <c r="D31" s="13">
        <v>463</v>
      </c>
      <c r="E31" s="13">
        <v>47</v>
      </c>
      <c r="F31" s="13">
        <v>162</v>
      </c>
      <c r="G31" s="13">
        <v>446</v>
      </c>
      <c r="H31" s="13">
        <v>702</v>
      </c>
      <c r="I31" s="13">
        <v>3117</v>
      </c>
      <c r="M31" t="s">
        <v>1281</v>
      </c>
      <c r="N31" s="11">
        <f>_xlfn.XLOOKUP(V4,N5:N11,P5:P11)</f>
        <v>9359</v>
      </c>
      <c r="P31" s="32" t="str">
        <f>IF(COUNTA(V4:V10)&gt;1,"","Amount Rank:"&amp;N31)</f>
        <v>Amount Rank:9359</v>
      </c>
      <c r="R31" t="s">
        <v>1028</v>
      </c>
      <c r="S31" t="s">
        <v>1289</v>
      </c>
    </row>
    <row r="32" spans="1:19" x14ac:dyDescent="0.3">
      <c r="A32" s="15" t="s">
        <v>1013</v>
      </c>
      <c r="B32" s="13">
        <v>424</v>
      </c>
      <c r="C32" s="13">
        <v>895</v>
      </c>
      <c r="D32" s="13">
        <v>605</v>
      </c>
      <c r="E32" s="13">
        <v>281</v>
      </c>
      <c r="F32" s="13">
        <v>266</v>
      </c>
      <c r="G32" s="13">
        <v>186</v>
      </c>
      <c r="H32" s="13">
        <v>589</v>
      </c>
      <c r="I32" s="13">
        <v>3246</v>
      </c>
      <c r="R32" t="s">
        <v>1029</v>
      </c>
      <c r="S32" t="s">
        <v>1290</v>
      </c>
    </row>
    <row r="33" spans="1:19" x14ac:dyDescent="0.3">
      <c r="A33" s="15" t="s">
        <v>1012</v>
      </c>
      <c r="B33" s="13">
        <v>550</v>
      </c>
      <c r="C33" s="13">
        <v>866</v>
      </c>
      <c r="D33" s="13">
        <v>557</v>
      </c>
      <c r="E33" s="13">
        <v>384</v>
      </c>
      <c r="F33" s="13">
        <v>570</v>
      </c>
      <c r="G33" s="13">
        <v>333</v>
      </c>
      <c r="H33" s="13">
        <v>514</v>
      </c>
      <c r="I33" s="13">
        <v>3774</v>
      </c>
      <c r="M33" t="s">
        <v>1282</v>
      </c>
      <c r="N33">
        <f>_xlfn.RANK.AVG(N30,O5:O11)</f>
        <v>7</v>
      </c>
      <c r="P33" s="10" t="s">
        <v>1285</v>
      </c>
      <c r="R33" t="s">
        <v>1026</v>
      </c>
      <c r="S33" t="s">
        <v>1291</v>
      </c>
    </row>
    <row r="34" spans="1:19" ht="28.8" x14ac:dyDescent="0.3">
      <c r="A34" s="15" t="s">
        <v>1010</v>
      </c>
      <c r="B34" s="13">
        <v>682</v>
      </c>
      <c r="C34" s="13">
        <v>1129</v>
      </c>
      <c r="D34" s="13">
        <v>905</v>
      </c>
      <c r="E34" s="13">
        <v>718</v>
      </c>
      <c r="F34" s="13">
        <v>387</v>
      </c>
      <c r="G34" s="13">
        <v>886</v>
      </c>
      <c r="H34" s="13">
        <v>723</v>
      </c>
      <c r="I34" s="13">
        <v>5430</v>
      </c>
      <c r="M34" s="29" t="s">
        <v>1283</v>
      </c>
      <c r="N34">
        <f>_xlfn.RANK.AVG(N31,P5:P11)</f>
        <v>7</v>
      </c>
      <c r="P34" t="str">
        <f>IF(COUNTA(V4:V10)&gt;1,"",_xlfn.XLOOKUP(V4,R28:R34,S28:S34))</f>
        <v>Rayana</v>
      </c>
      <c r="R34" t="s">
        <v>1032</v>
      </c>
      <c r="S34" t="s">
        <v>1292</v>
      </c>
    </row>
    <row r="35" spans="1:19" x14ac:dyDescent="0.3">
      <c r="A35" s="15" t="s">
        <v>1016</v>
      </c>
      <c r="B35" s="13">
        <v>746</v>
      </c>
      <c r="C35" s="13">
        <v>802</v>
      </c>
      <c r="D35" s="13">
        <v>965</v>
      </c>
      <c r="E35" s="13">
        <v>731</v>
      </c>
      <c r="F35" s="13">
        <v>461</v>
      </c>
      <c r="G35" s="13">
        <v>351</v>
      </c>
      <c r="H35" s="13">
        <v>665</v>
      </c>
      <c r="I35" s="13">
        <v>4721</v>
      </c>
    </row>
    <row r="36" spans="1:19" x14ac:dyDescent="0.3">
      <c r="A36" s="3" t="s">
        <v>1246</v>
      </c>
    </row>
    <row r="37" spans="1:19" x14ac:dyDescent="0.3">
      <c r="A37" s="15" t="s">
        <v>1008</v>
      </c>
      <c r="B37" s="13">
        <v>437</v>
      </c>
      <c r="C37" s="13">
        <v>804</v>
      </c>
      <c r="D37" s="13">
        <v>749</v>
      </c>
      <c r="E37" s="13">
        <v>675</v>
      </c>
      <c r="F37" s="13">
        <v>675</v>
      </c>
      <c r="G37" s="13">
        <v>311</v>
      </c>
      <c r="H37" s="13">
        <v>39</v>
      </c>
      <c r="I37" s="13">
        <v>3690</v>
      </c>
    </row>
    <row r="38" spans="1:19" x14ac:dyDescent="0.3">
      <c r="A38" s="15" t="s">
        <v>1023</v>
      </c>
      <c r="B38" s="13">
        <v>159</v>
      </c>
      <c r="C38" s="13">
        <v>569</v>
      </c>
      <c r="D38" s="13">
        <v>366</v>
      </c>
      <c r="E38" s="13">
        <v>583</v>
      </c>
      <c r="F38" s="13">
        <v>487</v>
      </c>
      <c r="G38" s="13">
        <v>508</v>
      </c>
      <c r="H38" s="13">
        <v>481</v>
      </c>
      <c r="I38" s="13">
        <v>3153</v>
      </c>
    </row>
    <row r="39" spans="1:19" x14ac:dyDescent="0.3">
      <c r="A39" s="15" t="s">
        <v>1021</v>
      </c>
      <c r="B39" s="13">
        <v>346</v>
      </c>
      <c r="C39" s="13">
        <v>1001</v>
      </c>
      <c r="D39" s="13">
        <v>303</v>
      </c>
      <c r="E39" s="13">
        <v>660</v>
      </c>
      <c r="F39" s="13">
        <v>439</v>
      </c>
      <c r="G39" s="13">
        <v>961</v>
      </c>
      <c r="H39" s="13">
        <v>406</v>
      </c>
      <c r="I39" s="13">
        <v>4116</v>
      </c>
    </row>
    <row r="40" spans="1:19" x14ac:dyDescent="0.3">
      <c r="A40" s="15" t="s">
        <v>1011</v>
      </c>
      <c r="B40" s="13">
        <v>539</v>
      </c>
      <c r="C40" s="13">
        <v>380</v>
      </c>
      <c r="D40" s="13">
        <v>502</v>
      </c>
      <c r="E40" s="13">
        <v>56</v>
      </c>
      <c r="F40" s="13">
        <v>316</v>
      </c>
      <c r="G40" s="13">
        <v>1139</v>
      </c>
      <c r="H40" s="13">
        <v>686</v>
      </c>
      <c r="I40" s="13">
        <v>3618</v>
      </c>
    </row>
    <row r="41" spans="1:19" x14ac:dyDescent="0.3">
      <c r="A41" s="3" t="s">
        <v>1248</v>
      </c>
    </row>
    <row r="42" spans="1:19" x14ac:dyDescent="0.3">
      <c r="A42" s="15" t="s">
        <v>1009</v>
      </c>
      <c r="B42" s="13">
        <v>1022</v>
      </c>
      <c r="C42" s="13">
        <v>812</v>
      </c>
      <c r="D42" s="13">
        <v>696</v>
      </c>
      <c r="E42" s="13">
        <v>691</v>
      </c>
      <c r="F42" s="13">
        <v>883</v>
      </c>
      <c r="G42" s="13">
        <v>719</v>
      </c>
      <c r="H42" s="13">
        <v>193</v>
      </c>
      <c r="I42" s="13">
        <v>5016</v>
      </c>
    </row>
    <row r="43" spans="1:19" x14ac:dyDescent="0.3">
      <c r="A43" s="15" t="s">
        <v>1024</v>
      </c>
      <c r="B43" s="13">
        <v>885</v>
      </c>
      <c r="C43" s="13">
        <v>527</v>
      </c>
      <c r="D43" s="13">
        <v>653</v>
      </c>
      <c r="E43" s="13">
        <v>670</v>
      </c>
      <c r="F43" s="13">
        <v>292</v>
      </c>
      <c r="G43" s="13">
        <v>418</v>
      </c>
      <c r="H43" s="13">
        <v>1041</v>
      </c>
      <c r="I43" s="13">
        <v>4486</v>
      </c>
    </row>
    <row r="44" spans="1:19" x14ac:dyDescent="0.3">
      <c r="A44" s="15" t="s">
        <v>1025</v>
      </c>
      <c r="B44" s="13">
        <v>389</v>
      </c>
      <c r="C44" s="13">
        <v>922</v>
      </c>
      <c r="D44" s="13">
        <v>586</v>
      </c>
      <c r="E44" s="13">
        <v>581</v>
      </c>
      <c r="F44" s="13">
        <v>461</v>
      </c>
      <c r="G44" s="13">
        <v>346</v>
      </c>
      <c r="H44" s="13">
        <v>572</v>
      </c>
      <c r="I44" s="13">
        <v>3857</v>
      </c>
    </row>
    <row r="45" spans="1:19" x14ac:dyDescent="0.3">
      <c r="A45" s="15" t="s">
        <v>1007</v>
      </c>
      <c r="B45" s="13">
        <v>1020</v>
      </c>
      <c r="C45" s="13">
        <v>630</v>
      </c>
      <c r="D45" s="13">
        <v>562</v>
      </c>
      <c r="E45" s="13">
        <v>434</v>
      </c>
      <c r="F45" s="13">
        <v>327</v>
      </c>
      <c r="G45" s="13">
        <v>724</v>
      </c>
      <c r="H45" s="13">
        <v>834</v>
      </c>
      <c r="I45" s="13">
        <v>4531</v>
      </c>
    </row>
    <row r="46" spans="1:19" x14ac:dyDescent="0.3">
      <c r="A46" s="15" t="s">
        <v>1006</v>
      </c>
      <c r="B46" s="13">
        <v>458</v>
      </c>
      <c r="C46" s="13">
        <v>504</v>
      </c>
      <c r="D46" s="13">
        <v>914</v>
      </c>
      <c r="E46" s="13">
        <v>1564</v>
      </c>
      <c r="F46" s="13">
        <v>1068</v>
      </c>
      <c r="G46" s="13">
        <v>670</v>
      </c>
      <c r="H46" s="13">
        <v>466</v>
      </c>
      <c r="I46" s="13">
        <v>5644</v>
      </c>
    </row>
    <row r="47" spans="1:19" x14ac:dyDescent="0.3">
      <c r="A47" s="3" t="s">
        <v>1247</v>
      </c>
    </row>
    <row r="48" spans="1:19" x14ac:dyDescent="0.3">
      <c r="A48" s="15" t="s">
        <v>1019</v>
      </c>
      <c r="B48" s="13">
        <v>1046</v>
      </c>
      <c r="C48" s="13">
        <v>744</v>
      </c>
      <c r="D48" s="13">
        <v>742</v>
      </c>
      <c r="E48" s="13">
        <v>484</v>
      </c>
      <c r="F48" s="13">
        <v>311</v>
      </c>
      <c r="G48" s="13">
        <v>531</v>
      </c>
      <c r="H48" s="13">
        <v>664</v>
      </c>
      <c r="I48" s="13">
        <v>4522</v>
      </c>
    </row>
    <row r="49" spans="1:9" x14ac:dyDescent="0.3">
      <c r="A49" s="15" t="s">
        <v>1017</v>
      </c>
      <c r="B49" s="13">
        <v>1141</v>
      </c>
      <c r="C49" s="13">
        <v>915</v>
      </c>
      <c r="D49" s="13">
        <v>596</v>
      </c>
      <c r="E49" s="13">
        <v>414</v>
      </c>
      <c r="F49" s="13">
        <v>579</v>
      </c>
      <c r="G49" s="13">
        <v>644</v>
      </c>
      <c r="H49" s="13">
        <v>919</v>
      </c>
      <c r="I49" s="13">
        <v>5208</v>
      </c>
    </row>
    <row r="50" spans="1:9" x14ac:dyDescent="0.3">
      <c r="A50" s="15" t="s">
        <v>1020</v>
      </c>
      <c r="B50" s="13">
        <v>981</v>
      </c>
      <c r="C50" s="13">
        <v>322</v>
      </c>
      <c r="D50" s="13">
        <v>508</v>
      </c>
      <c r="E50" s="13">
        <v>759</v>
      </c>
      <c r="F50" s="13">
        <v>646</v>
      </c>
      <c r="G50" s="13">
        <v>674</v>
      </c>
      <c r="H50" s="13">
        <v>358</v>
      </c>
      <c r="I50" s="13">
        <v>4248</v>
      </c>
    </row>
    <row r="51" spans="1:9" x14ac:dyDescent="0.3">
      <c r="A51" s="15" t="s">
        <v>1014</v>
      </c>
      <c r="B51" s="13">
        <v>929</v>
      </c>
      <c r="C51" s="13">
        <v>586</v>
      </c>
      <c r="D51" s="13">
        <v>758</v>
      </c>
      <c r="E51" s="13">
        <v>1108</v>
      </c>
      <c r="F51" s="13">
        <v>269</v>
      </c>
      <c r="G51" s="13">
        <v>510</v>
      </c>
      <c r="H51" s="13">
        <v>522</v>
      </c>
      <c r="I51" s="13">
        <v>4682</v>
      </c>
    </row>
    <row r="52" spans="1:9" x14ac:dyDescent="0.3">
      <c r="A52" s="15" t="s">
        <v>1015</v>
      </c>
      <c r="B52" s="13">
        <v>824</v>
      </c>
      <c r="C52" s="13">
        <v>558</v>
      </c>
      <c r="D52" s="13">
        <v>302</v>
      </c>
      <c r="E52" s="13">
        <v>555</v>
      </c>
      <c r="F52" s="13">
        <v>523</v>
      </c>
      <c r="G52" s="13">
        <v>609</v>
      </c>
      <c r="H52" s="13">
        <v>794</v>
      </c>
      <c r="I52" s="13">
        <v>4165</v>
      </c>
    </row>
    <row r="57" spans="1:9" x14ac:dyDescent="0.3">
      <c r="F57" s="30"/>
      <c r="G57" s="30"/>
    </row>
    <row r="58" spans="1:9" ht="46.8" customHeight="1" x14ac:dyDescent="0.3"/>
    <row r="59" spans="1:9" ht="50.4" customHeight="1" x14ac:dyDescent="0.3"/>
    <row r="60" spans="1:9" ht="47.4" customHeight="1" x14ac:dyDescent="0.3"/>
    <row r="61" spans="1:9" ht="50.4" customHeight="1" x14ac:dyDescent="0.3"/>
    <row r="62" spans="1:9" ht="54" customHeight="1" x14ac:dyDescent="0.3"/>
    <row r="63" spans="1:9" ht="45" customHeight="1" x14ac:dyDescent="0.3"/>
    <row r="64" spans="1:9" ht="45.6" customHeight="1" x14ac:dyDescent="0.3"/>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7E526-C007-4502-A2DE-6A9A2CC583B4}">
  <dimension ref="A2:AN57"/>
  <sheetViews>
    <sheetView tabSelected="1" topLeftCell="A2" zoomScale="55" zoomScaleNormal="55" workbookViewId="0">
      <selection activeCell="AD29" sqref="AD29"/>
    </sheetView>
  </sheetViews>
  <sheetFormatPr defaultRowHeight="14.4" x14ac:dyDescent="0.3"/>
  <cols>
    <col min="1" max="1" width="2" style="4" customWidth="1"/>
    <col min="2" max="2" width="2.21875" style="4" customWidth="1"/>
    <col min="3" max="13" width="8.88671875" style="4"/>
    <col min="14" max="14" width="8.21875" style="4" customWidth="1"/>
    <col min="15" max="16" width="8.88671875" style="4"/>
    <col min="17" max="17" width="15.21875" style="4" customWidth="1"/>
    <col min="18" max="19" width="10.6640625" style="4" customWidth="1"/>
    <col min="20" max="20" width="9" style="4" customWidth="1"/>
    <col min="21" max="24" width="10.6640625" style="4" bestFit="1" customWidth="1"/>
    <col min="25" max="25" width="13.21875" style="4" customWidth="1"/>
    <col min="26" max="26" width="8.88671875" style="4"/>
  </cols>
  <sheetData>
    <row r="2" spans="3:40" ht="33.6" x14ac:dyDescent="0.65">
      <c r="C2" s="35" t="s">
        <v>1293</v>
      </c>
      <c r="AA2" s="4"/>
      <c r="AB2" s="4"/>
      <c r="AC2" s="4"/>
      <c r="AD2" s="4"/>
      <c r="AE2" s="4"/>
      <c r="AF2" s="4"/>
      <c r="AG2" s="4"/>
      <c r="AH2" s="4"/>
      <c r="AI2" s="4"/>
      <c r="AJ2" s="4"/>
      <c r="AK2" s="4"/>
      <c r="AL2" s="4"/>
      <c r="AM2" s="4"/>
      <c r="AN2" s="4"/>
    </row>
    <row r="3" spans="3:40" ht="3.6" customHeight="1" x14ac:dyDescent="0.3">
      <c r="AA3" s="4"/>
      <c r="AB3" s="4"/>
      <c r="AC3" s="4"/>
      <c r="AD3" s="4"/>
      <c r="AE3" s="4"/>
      <c r="AF3" s="4"/>
      <c r="AG3" s="4"/>
      <c r="AH3" s="4"/>
      <c r="AI3" s="4"/>
      <c r="AJ3" s="4"/>
      <c r="AK3" s="4"/>
      <c r="AL3" s="4"/>
      <c r="AM3" s="4"/>
      <c r="AN3" s="4"/>
    </row>
    <row r="4" spans="3:40" x14ac:dyDescent="0.3">
      <c r="AA4" s="4"/>
      <c r="AB4" s="4"/>
      <c r="AC4" s="4"/>
      <c r="AD4" s="4"/>
      <c r="AE4" s="4"/>
      <c r="AF4" s="4"/>
      <c r="AG4" s="4"/>
      <c r="AH4" s="4"/>
      <c r="AI4" s="4"/>
      <c r="AJ4" s="4"/>
      <c r="AK4" s="4"/>
      <c r="AL4" s="4"/>
      <c r="AM4" s="4"/>
      <c r="AN4" s="4"/>
    </row>
    <row r="5" spans="3:40" x14ac:dyDescent="0.3">
      <c r="AA5" s="4"/>
      <c r="AB5" s="4"/>
      <c r="AC5" s="4"/>
      <c r="AD5" s="4"/>
      <c r="AE5" s="4"/>
      <c r="AF5" s="4"/>
      <c r="AG5" s="4"/>
      <c r="AH5" s="4"/>
      <c r="AI5" s="4"/>
      <c r="AJ5" s="4"/>
      <c r="AK5" s="4"/>
      <c r="AL5" s="4"/>
      <c r="AM5" s="4"/>
      <c r="AN5" s="4"/>
    </row>
    <row r="6" spans="3:40" x14ac:dyDescent="0.3">
      <c r="AA6" s="4"/>
      <c r="AB6" s="4"/>
      <c r="AC6" s="4"/>
      <c r="AD6" s="4"/>
      <c r="AE6" s="4"/>
      <c r="AF6" s="4"/>
      <c r="AG6" s="4"/>
      <c r="AH6" s="4"/>
      <c r="AI6" s="4"/>
      <c r="AJ6" s="4"/>
      <c r="AK6" s="4"/>
      <c r="AL6" s="4"/>
      <c r="AM6" s="4"/>
      <c r="AN6" s="4"/>
    </row>
    <row r="7" spans="3:40" x14ac:dyDescent="0.3">
      <c r="AA7" s="4"/>
      <c r="AB7" s="4"/>
      <c r="AC7" s="4"/>
      <c r="AD7" s="4"/>
      <c r="AE7" s="4"/>
      <c r="AF7" s="4"/>
      <c r="AG7" s="4"/>
      <c r="AH7" s="4"/>
      <c r="AI7" s="4"/>
      <c r="AJ7" s="4"/>
      <c r="AK7" s="4"/>
      <c r="AL7" s="4"/>
      <c r="AM7" s="4"/>
      <c r="AN7" s="4"/>
    </row>
    <row r="8" spans="3:40" x14ac:dyDescent="0.3">
      <c r="AA8" s="4"/>
      <c r="AB8" s="4"/>
      <c r="AC8" s="4"/>
      <c r="AD8" s="4"/>
      <c r="AE8" s="4"/>
      <c r="AF8" s="4"/>
      <c r="AG8" s="4"/>
      <c r="AH8" s="4"/>
      <c r="AI8" s="4"/>
      <c r="AJ8" s="4"/>
      <c r="AK8" s="4"/>
      <c r="AL8" s="4"/>
      <c r="AM8" s="4"/>
      <c r="AN8" s="4"/>
    </row>
    <row r="9" spans="3:40" x14ac:dyDescent="0.3">
      <c r="AA9" s="4"/>
      <c r="AB9" s="4"/>
      <c r="AC9" s="4"/>
      <c r="AD9" s="4"/>
      <c r="AE9" s="4"/>
      <c r="AF9" s="4"/>
      <c r="AG9" s="4"/>
      <c r="AH9" s="4"/>
      <c r="AI9" s="4"/>
      <c r="AJ9" s="4"/>
      <c r="AK9" s="4"/>
      <c r="AL9" s="4"/>
      <c r="AM9" s="4"/>
      <c r="AN9" s="4"/>
    </row>
    <row r="10" spans="3:40" x14ac:dyDescent="0.3">
      <c r="AA10" s="4"/>
      <c r="AB10" s="4"/>
      <c r="AC10" s="4"/>
      <c r="AD10" s="4"/>
      <c r="AE10" s="4"/>
      <c r="AF10" s="4"/>
      <c r="AG10" s="4"/>
      <c r="AH10" s="4"/>
      <c r="AI10" s="4"/>
      <c r="AJ10" s="4"/>
      <c r="AK10" s="4"/>
      <c r="AL10" s="4"/>
      <c r="AM10" s="4"/>
      <c r="AN10" s="4"/>
    </row>
    <row r="11" spans="3:40" x14ac:dyDescent="0.3">
      <c r="AA11" s="4"/>
      <c r="AB11" s="4"/>
      <c r="AC11" s="4"/>
      <c r="AD11" s="4"/>
      <c r="AE11" s="4"/>
      <c r="AF11" s="4"/>
      <c r="AG11" s="4"/>
      <c r="AH11" s="4"/>
      <c r="AI11" s="4"/>
      <c r="AJ11" s="4"/>
      <c r="AK11" s="4"/>
      <c r="AL11" s="4"/>
      <c r="AM11" s="4"/>
      <c r="AN11" s="4"/>
    </row>
    <row r="12" spans="3:40" x14ac:dyDescent="0.3">
      <c r="AA12" s="4"/>
      <c r="AB12" s="4"/>
      <c r="AC12" s="4"/>
      <c r="AD12" s="4"/>
      <c r="AE12" s="4"/>
      <c r="AF12" s="4"/>
      <c r="AG12" s="4"/>
      <c r="AH12" s="4"/>
      <c r="AI12" s="4"/>
      <c r="AJ12" s="4"/>
      <c r="AK12" s="4"/>
      <c r="AL12" s="4"/>
      <c r="AM12" s="4"/>
      <c r="AN12" s="4"/>
    </row>
    <row r="13" spans="3:40" x14ac:dyDescent="0.3">
      <c r="AA13" s="4"/>
      <c r="AB13" s="4"/>
      <c r="AC13" s="4"/>
      <c r="AD13" s="4"/>
      <c r="AE13" s="4"/>
      <c r="AF13" s="4"/>
      <c r="AG13" s="4"/>
      <c r="AH13" s="4"/>
      <c r="AI13" s="4"/>
      <c r="AJ13" s="4"/>
      <c r="AK13" s="4"/>
      <c r="AL13" s="4"/>
      <c r="AM13" s="4"/>
      <c r="AN13" s="4"/>
    </row>
    <row r="14" spans="3:40" x14ac:dyDescent="0.3">
      <c r="AA14" s="4"/>
      <c r="AB14" s="4"/>
      <c r="AC14" s="4"/>
      <c r="AD14" s="4"/>
      <c r="AE14" s="4"/>
      <c r="AF14" s="4"/>
      <c r="AG14" s="4"/>
      <c r="AH14" s="4"/>
      <c r="AI14" s="4"/>
      <c r="AJ14" s="4"/>
      <c r="AK14" s="4"/>
      <c r="AL14" s="4"/>
      <c r="AM14" s="4"/>
      <c r="AN14" s="4"/>
    </row>
    <row r="15" spans="3:40" x14ac:dyDescent="0.3">
      <c r="AA15" s="4"/>
      <c r="AB15" s="4"/>
      <c r="AC15" s="4"/>
      <c r="AD15" s="4"/>
      <c r="AE15" s="4"/>
      <c r="AF15" s="4"/>
      <c r="AG15" s="4"/>
      <c r="AH15" s="4"/>
      <c r="AI15" s="4"/>
      <c r="AJ15" s="4"/>
      <c r="AK15" s="4"/>
      <c r="AL15" s="4"/>
      <c r="AM15" s="4"/>
      <c r="AN15" s="4"/>
    </row>
    <row r="16" spans="3:40" x14ac:dyDescent="0.3">
      <c r="G16" s="7"/>
      <c r="AA16" s="4"/>
      <c r="AB16" s="4"/>
      <c r="AC16" s="4"/>
      <c r="AD16" s="4"/>
      <c r="AE16" s="4"/>
      <c r="AF16" s="4"/>
      <c r="AG16" s="4"/>
      <c r="AH16" s="4"/>
      <c r="AI16" s="4"/>
      <c r="AJ16" s="4"/>
      <c r="AK16" s="4"/>
      <c r="AL16" s="4"/>
      <c r="AM16" s="4"/>
      <c r="AN16" s="4"/>
    </row>
    <row r="17" spans="17:40" x14ac:dyDescent="0.3">
      <c r="AA17" s="4"/>
      <c r="AB17" s="4"/>
      <c r="AC17" s="4"/>
      <c r="AD17" s="4"/>
      <c r="AE17" s="4"/>
      <c r="AF17" s="4"/>
      <c r="AG17" s="4"/>
      <c r="AH17" s="4"/>
      <c r="AI17" s="4"/>
      <c r="AJ17" s="4"/>
      <c r="AK17" s="4"/>
      <c r="AL17" s="4"/>
      <c r="AM17" s="4"/>
      <c r="AN17" s="4"/>
    </row>
    <row r="18" spans="17:40" x14ac:dyDescent="0.3">
      <c r="AA18" s="4"/>
      <c r="AB18" s="4"/>
      <c r="AC18" s="4"/>
      <c r="AD18" s="4"/>
      <c r="AE18" s="4"/>
      <c r="AF18" s="4"/>
      <c r="AG18" s="4"/>
      <c r="AH18" s="4"/>
      <c r="AI18" s="4"/>
      <c r="AJ18" s="4"/>
      <c r="AK18" s="4"/>
      <c r="AL18" s="4"/>
      <c r="AM18" s="4"/>
      <c r="AN18" s="4"/>
    </row>
    <row r="19" spans="17:40" x14ac:dyDescent="0.3">
      <c r="AA19" s="4"/>
      <c r="AB19" s="4"/>
      <c r="AC19" s="4"/>
      <c r="AD19" s="4"/>
      <c r="AE19" s="4"/>
      <c r="AF19" s="4"/>
      <c r="AG19" s="4"/>
      <c r="AH19" s="4"/>
      <c r="AI19" s="4"/>
      <c r="AJ19" s="4"/>
      <c r="AK19" s="4"/>
      <c r="AL19" s="4"/>
      <c r="AM19" s="4"/>
      <c r="AN19" s="4"/>
    </row>
    <row r="20" spans="17:40" x14ac:dyDescent="0.3">
      <c r="AA20" s="4"/>
      <c r="AB20" s="4"/>
      <c r="AC20" s="4"/>
      <c r="AD20" s="4"/>
      <c r="AE20" s="4"/>
      <c r="AF20" s="4"/>
      <c r="AG20" s="4"/>
      <c r="AH20" s="4"/>
      <c r="AI20" s="4"/>
      <c r="AJ20" s="4"/>
      <c r="AK20" s="4"/>
      <c r="AL20" s="4"/>
      <c r="AM20" s="4"/>
      <c r="AN20" s="4"/>
    </row>
    <row r="21" spans="17:40" x14ac:dyDescent="0.3">
      <c r="Q21" s="18"/>
      <c r="R21" s="19" t="str" cm="1">
        <f t="array" ref="R21:X21">Pivots!B28:H28</f>
        <v>R001</v>
      </c>
      <c r="S21" s="19" t="str">
        <v>R002</v>
      </c>
      <c r="T21" s="19" t="str">
        <v>R003</v>
      </c>
      <c r="U21" s="19" t="str">
        <v>R004</v>
      </c>
      <c r="V21" s="19" t="str">
        <v>R005</v>
      </c>
      <c r="W21" s="19" t="str">
        <v>R006</v>
      </c>
      <c r="X21" s="19" t="str">
        <v>R007</v>
      </c>
      <c r="Y21" s="20" t="s">
        <v>1278</v>
      </c>
      <c r="AA21" s="4"/>
      <c r="AB21" s="4"/>
      <c r="AC21" s="4"/>
      <c r="AD21" s="4"/>
      <c r="AE21" s="4"/>
      <c r="AF21" s="4"/>
      <c r="AG21" s="4"/>
      <c r="AH21" s="4"/>
      <c r="AI21" s="4"/>
      <c r="AJ21" s="4"/>
      <c r="AK21" s="4"/>
      <c r="AL21" s="4"/>
      <c r="AM21" s="4"/>
      <c r="AN21" s="4"/>
    </row>
    <row r="22" spans="17:40" x14ac:dyDescent="0.3">
      <c r="Q22" s="21" t="str" cm="1">
        <f t="array" ref="Q22:Y45">IF(Pivots!A29:I52="","",Pivots!A29:I52)</f>
        <v>Chennai</v>
      </c>
      <c r="R22" s="16" t="str">
        <v/>
      </c>
      <c r="S22" s="16" t="str">
        <v/>
      </c>
      <c r="T22" s="16" t="str">
        <v/>
      </c>
      <c r="U22" s="16" t="str">
        <v/>
      </c>
      <c r="V22" s="16" t="str">
        <v/>
      </c>
      <c r="W22" s="16" t="str">
        <v/>
      </c>
      <c r="X22" s="16" t="str">
        <v/>
      </c>
      <c r="Y22" s="22" t="str">
        <v/>
      </c>
      <c r="AA22" s="4"/>
      <c r="AB22" s="4"/>
      <c r="AC22" s="4"/>
      <c r="AD22" s="4"/>
      <c r="AE22" s="4"/>
      <c r="AF22" s="4"/>
      <c r="AG22" s="4"/>
      <c r="AH22" s="4"/>
      <c r="AI22" s="4"/>
      <c r="AJ22" s="4"/>
      <c r="AK22" s="4"/>
      <c r="AL22" s="4"/>
      <c r="AM22" s="4"/>
      <c r="AN22" s="4"/>
    </row>
    <row r="23" spans="17:40" x14ac:dyDescent="0.3">
      <c r="Q23" s="23" t="str">
        <v>C001</v>
      </c>
      <c r="R23" s="17">
        <v>339</v>
      </c>
      <c r="S23" s="17">
        <v>568</v>
      </c>
      <c r="T23" s="17">
        <v>767</v>
      </c>
      <c r="U23" s="17">
        <v>341</v>
      </c>
      <c r="V23" s="17">
        <v>237</v>
      </c>
      <c r="W23" s="17">
        <v>800</v>
      </c>
      <c r="X23" s="17">
        <v>331</v>
      </c>
      <c r="Y23" s="24">
        <v>3383</v>
      </c>
      <c r="AA23" s="4"/>
      <c r="AB23" s="4"/>
      <c r="AC23" s="4"/>
      <c r="AD23" s="4"/>
      <c r="AE23" s="4"/>
      <c r="AF23" s="4"/>
      <c r="AG23" s="4"/>
      <c r="AH23" s="4"/>
      <c r="AI23" s="4"/>
      <c r="AJ23" s="4"/>
      <c r="AK23" s="4"/>
      <c r="AL23" s="4"/>
      <c r="AM23" s="4"/>
      <c r="AN23" s="4"/>
    </row>
    <row r="24" spans="17:40" x14ac:dyDescent="0.3">
      <c r="Q24" s="23" t="str">
        <v>C002</v>
      </c>
      <c r="R24" s="17">
        <v>245</v>
      </c>
      <c r="S24" s="17">
        <v>1052</v>
      </c>
      <c r="T24" s="17">
        <v>463</v>
      </c>
      <c r="U24" s="17">
        <v>47</v>
      </c>
      <c r="V24" s="17">
        <v>162</v>
      </c>
      <c r="W24" s="17">
        <v>446</v>
      </c>
      <c r="X24" s="17">
        <v>702</v>
      </c>
      <c r="Y24" s="24">
        <v>3117</v>
      </c>
      <c r="AA24" s="4"/>
      <c r="AB24" s="4"/>
      <c r="AC24" s="4"/>
      <c r="AD24" s="4"/>
      <c r="AE24" s="4"/>
      <c r="AF24" s="4"/>
      <c r="AG24" s="4"/>
      <c r="AH24" s="4"/>
      <c r="AI24" s="4"/>
      <c r="AJ24" s="4"/>
      <c r="AK24" s="4"/>
      <c r="AL24" s="4"/>
      <c r="AM24" s="4"/>
      <c r="AN24" s="4"/>
    </row>
    <row r="25" spans="17:40" x14ac:dyDescent="0.3">
      <c r="Q25" s="23" t="str">
        <v>C008</v>
      </c>
      <c r="R25" s="17">
        <v>424</v>
      </c>
      <c r="S25" s="17">
        <v>895</v>
      </c>
      <c r="T25" s="17">
        <v>605</v>
      </c>
      <c r="U25" s="17">
        <v>281</v>
      </c>
      <c r="V25" s="17">
        <v>266</v>
      </c>
      <c r="W25" s="17">
        <v>186</v>
      </c>
      <c r="X25" s="17">
        <v>589</v>
      </c>
      <c r="Y25" s="24">
        <v>3246</v>
      </c>
      <c r="AA25" s="4"/>
      <c r="AB25" s="4"/>
      <c r="AC25" s="4"/>
      <c r="AD25" s="4"/>
      <c r="AE25" s="4"/>
      <c r="AF25" s="4"/>
      <c r="AG25" s="4"/>
      <c r="AH25" s="4"/>
      <c r="AI25" s="4"/>
      <c r="AJ25" s="4"/>
      <c r="AK25" s="4"/>
      <c r="AL25" s="4"/>
      <c r="AM25" s="4"/>
      <c r="AN25" s="4"/>
    </row>
    <row r="26" spans="17:40" x14ac:dyDescent="0.3">
      <c r="Q26" s="23" t="str">
        <v>C014</v>
      </c>
      <c r="R26" s="17">
        <v>550</v>
      </c>
      <c r="S26" s="17">
        <v>866</v>
      </c>
      <c r="T26" s="17">
        <v>557</v>
      </c>
      <c r="U26" s="17">
        <v>384</v>
      </c>
      <c r="V26" s="17">
        <v>570</v>
      </c>
      <c r="W26" s="17">
        <v>333</v>
      </c>
      <c r="X26" s="17">
        <v>514</v>
      </c>
      <c r="Y26" s="24">
        <v>3774</v>
      </c>
      <c r="AA26" s="4"/>
      <c r="AB26" s="4"/>
      <c r="AC26" s="4"/>
      <c r="AD26" s="4"/>
      <c r="AE26" s="4"/>
      <c r="AF26" s="4"/>
      <c r="AG26" s="4"/>
      <c r="AH26" s="4"/>
      <c r="AI26" s="4"/>
      <c r="AJ26" s="4"/>
      <c r="AK26" s="4"/>
      <c r="AL26" s="4"/>
      <c r="AM26" s="4"/>
      <c r="AN26" s="4"/>
    </row>
    <row r="27" spans="17:40" x14ac:dyDescent="0.3">
      <c r="Q27" s="23" t="str">
        <v>C019</v>
      </c>
      <c r="R27" s="17">
        <v>682</v>
      </c>
      <c r="S27" s="17">
        <v>1129</v>
      </c>
      <c r="T27" s="17">
        <v>905</v>
      </c>
      <c r="U27" s="17">
        <v>718</v>
      </c>
      <c r="V27" s="17">
        <v>387</v>
      </c>
      <c r="W27" s="17">
        <v>886</v>
      </c>
      <c r="X27" s="17">
        <v>723</v>
      </c>
      <c r="Y27" s="24">
        <v>5430</v>
      </c>
      <c r="AA27" s="4"/>
      <c r="AB27" s="4"/>
      <c r="AC27" s="4"/>
      <c r="AD27" s="4"/>
      <c r="AE27" s="4"/>
      <c r="AF27" s="4"/>
      <c r="AG27" s="4"/>
      <c r="AH27" s="4"/>
      <c r="AI27" s="4"/>
      <c r="AJ27" s="4"/>
      <c r="AK27" s="4"/>
      <c r="AL27" s="4"/>
      <c r="AM27" s="4"/>
      <c r="AN27" s="4"/>
    </row>
    <row r="28" spans="17:40" x14ac:dyDescent="0.3">
      <c r="Q28" s="23" t="str">
        <v>C020</v>
      </c>
      <c r="R28" s="17">
        <v>746</v>
      </c>
      <c r="S28" s="17">
        <v>802</v>
      </c>
      <c r="T28" s="17">
        <v>965</v>
      </c>
      <c r="U28" s="17">
        <v>731</v>
      </c>
      <c r="V28" s="17">
        <v>461</v>
      </c>
      <c r="W28" s="17">
        <v>351</v>
      </c>
      <c r="X28" s="17">
        <v>665</v>
      </c>
      <c r="Y28" s="24">
        <v>4721</v>
      </c>
      <c r="AA28" s="4"/>
      <c r="AB28" s="4"/>
      <c r="AC28" s="4"/>
      <c r="AD28" s="4"/>
      <c r="AE28" s="4"/>
      <c r="AF28" s="4"/>
      <c r="AG28" s="4"/>
      <c r="AH28" s="4"/>
      <c r="AI28" s="4"/>
      <c r="AJ28" s="4"/>
      <c r="AK28" s="4"/>
      <c r="AL28" s="4"/>
      <c r="AM28" s="4"/>
      <c r="AN28" s="4"/>
    </row>
    <row r="29" spans="17:40" x14ac:dyDescent="0.3">
      <c r="Q29" s="25" t="str">
        <v>Madurai</v>
      </c>
      <c r="R29" s="17" t="str">
        <v/>
      </c>
      <c r="S29" s="17" t="str">
        <v/>
      </c>
      <c r="T29" s="17" t="str">
        <v/>
      </c>
      <c r="U29" s="17" t="str">
        <v/>
      </c>
      <c r="V29" s="17" t="str">
        <v/>
      </c>
      <c r="W29" s="17" t="str">
        <v/>
      </c>
      <c r="X29" s="17" t="str">
        <v/>
      </c>
      <c r="Y29" s="24" t="str">
        <v/>
      </c>
      <c r="AA29" s="4"/>
      <c r="AB29" s="4"/>
      <c r="AC29" s="4"/>
      <c r="AD29" s="4"/>
      <c r="AE29" s="4"/>
      <c r="AF29" s="4"/>
      <c r="AG29" s="4"/>
      <c r="AH29" s="4"/>
      <c r="AI29" s="4"/>
      <c r="AJ29" s="4"/>
      <c r="AK29" s="4"/>
      <c r="AL29" s="4"/>
      <c r="AM29" s="4"/>
      <c r="AN29" s="4"/>
    </row>
    <row r="30" spans="17:40" x14ac:dyDescent="0.3">
      <c r="Q30" s="23" t="str">
        <v>C003</v>
      </c>
      <c r="R30" s="17">
        <v>437</v>
      </c>
      <c r="S30" s="17">
        <v>804</v>
      </c>
      <c r="T30" s="17">
        <v>749</v>
      </c>
      <c r="U30" s="17">
        <v>675</v>
      </c>
      <c r="V30" s="17">
        <v>675</v>
      </c>
      <c r="W30" s="17">
        <v>311</v>
      </c>
      <c r="X30" s="17">
        <v>39</v>
      </c>
      <c r="Y30" s="24">
        <v>3690</v>
      </c>
      <c r="AA30" s="4"/>
      <c r="AB30" s="4"/>
      <c r="AC30" s="4"/>
      <c r="AD30" s="4"/>
      <c r="AE30" s="4"/>
      <c r="AF30" s="4"/>
      <c r="AG30" s="4"/>
      <c r="AH30" s="4"/>
      <c r="AI30" s="4"/>
      <c r="AJ30" s="4"/>
      <c r="AK30" s="4"/>
      <c r="AL30" s="4"/>
      <c r="AM30" s="4"/>
      <c r="AN30" s="4"/>
    </row>
    <row r="31" spans="17:40" x14ac:dyDescent="0.3">
      <c r="Q31" s="23" t="str">
        <v>C011</v>
      </c>
      <c r="R31" s="17">
        <v>159</v>
      </c>
      <c r="S31" s="17">
        <v>569</v>
      </c>
      <c r="T31" s="17">
        <v>366</v>
      </c>
      <c r="U31" s="17">
        <v>583</v>
      </c>
      <c r="V31" s="17">
        <v>487</v>
      </c>
      <c r="W31" s="17">
        <v>508</v>
      </c>
      <c r="X31" s="17">
        <v>481</v>
      </c>
      <c r="Y31" s="24">
        <v>3153</v>
      </c>
      <c r="AA31" s="4"/>
      <c r="AB31" s="4"/>
      <c r="AC31" s="4"/>
      <c r="AD31" s="4"/>
      <c r="AE31" s="4"/>
      <c r="AF31" s="4"/>
      <c r="AG31" s="4"/>
      <c r="AH31" s="4"/>
      <c r="AI31" s="4"/>
      <c r="AJ31" s="4"/>
      <c r="AK31" s="4"/>
      <c r="AL31" s="4"/>
      <c r="AM31" s="4"/>
      <c r="AN31" s="4"/>
    </row>
    <row r="32" spans="17:40" x14ac:dyDescent="0.3">
      <c r="Q32" s="23" t="str">
        <v>C015</v>
      </c>
      <c r="R32" s="17">
        <v>346</v>
      </c>
      <c r="S32" s="17">
        <v>1001</v>
      </c>
      <c r="T32" s="17">
        <v>303</v>
      </c>
      <c r="U32" s="17">
        <v>660</v>
      </c>
      <c r="V32" s="17">
        <v>439</v>
      </c>
      <c r="W32" s="17">
        <v>961</v>
      </c>
      <c r="X32" s="17">
        <v>406</v>
      </c>
      <c r="Y32" s="24">
        <v>4116</v>
      </c>
      <c r="AA32" s="4"/>
      <c r="AB32" s="4"/>
      <c r="AC32" s="4"/>
      <c r="AD32" s="4"/>
      <c r="AE32" s="4"/>
      <c r="AF32" s="4"/>
      <c r="AG32" s="4"/>
      <c r="AH32" s="4"/>
      <c r="AI32" s="4"/>
      <c r="AJ32" s="4"/>
      <c r="AK32" s="4"/>
      <c r="AL32" s="4"/>
      <c r="AM32" s="4"/>
      <c r="AN32" s="4"/>
    </row>
    <row r="33" spans="14:40" x14ac:dyDescent="0.3">
      <c r="Q33" s="23" t="str">
        <v>C017</v>
      </c>
      <c r="R33" s="17">
        <v>539</v>
      </c>
      <c r="S33" s="17">
        <v>380</v>
      </c>
      <c r="T33" s="17">
        <v>502</v>
      </c>
      <c r="U33" s="17">
        <v>56</v>
      </c>
      <c r="V33" s="17">
        <v>316</v>
      </c>
      <c r="W33" s="17">
        <v>1139</v>
      </c>
      <c r="X33" s="17">
        <v>686</v>
      </c>
      <c r="Y33" s="24">
        <v>3618</v>
      </c>
      <c r="AA33" s="4"/>
      <c r="AB33" s="4"/>
      <c r="AC33" s="4"/>
      <c r="AD33" s="4"/>
      <c r="AE33" s="4"/>
      <c r="AF33" s="4"/>
      <c r="AG33" s="4"/>
      <c r="AH33" s="4"/>
      <c r="AI33" s="4"/>
      <c r="AJ33" s="4"/>
      <c r="AK33" s="4"/>
      <c r="AL33" s="4"/>
      <c r="AM33" s="4"/>
      <c r="AN33" s="4"/>
    </row>
    <row r="34" spans="14:40" x14ac:dyDescent="0.3">
      <c r="Q34" s="25" t="str">
        <v>Salem</v>
      </c>
      <c r="R34" s="17" t="str">
        <v/>
      </c>
      <c r="S34" s="17" t="str">
        <v/>
      </c>
      <c r="T34" s="17" t="str">
        <v/>
      </c>
      <c r="U34" s="17" t="str">
        <v/>
      </c>
      <c r="V34" s="17" t="str">
        <v/>
      </c>
      <c r="W34" s="17" t="str">
        <v/>
      </c>
      <c r="X34" s="17" t="str">
        <v/>
      </c>
      <c r="Y34" s="24" t="str">
        <v/>
      </c>
      <c r="AA34" s="4"/>
      <c r="AB34" s="4"/>
      <c r="AC34" s="4"/>
      <c r="AD34" s="4"/>
      <c r="AE34" s="4"/>
      <c r="AF34" s="4"/>
      <c r="AG34" s="4"/>
      <c r="AH34" s="4"/>
      <c r="AI34" s="4"/>
      <c r="AJ34" s="4"/>
      <c r="AK34" s="4"/>
      <c r="AL34" s="4"/>
      <c r="AM34" s="4"/>
      <c r="AN34" s="4"/>
    </row>
    <row r="35" spans="14:40" x14ac:dyDescent="0.3">
      <c r="Q35" s="23" t="str">
        <v>C005</v>
      </c>
      <c r="R35" s="17">
        <v>1022</v>
      </c>
      <c r="S35" s="17">
        <v>812</v>
      </c>
      <c r="T35" s="17">
        <v>696</v>
      </c>
      <c r="U35" s="17">
        <v>691</v>
      </c>
      <c r="V35" s="17">
        <v>883</v>
      </c>
      <c r="W35" s="17">
        <v>719</v>
      </c>
      <c r="X35" s="17">
        <v>193</v>
      </c>
      <c r="Y35" s="24">
        <v>5016</v>
      </c>
      <c r="AA35" s="4"/>
      <c r="AB35" s="4"/>
      <c r="AC35" s="4"/>
      <c r="AD35" s="4"/>
      <c r="AE35" s="4"/>
      <c r="AF35" s="4"/>
      <c r="AG35" s="4"/>
      <c r="AH35" s="4"/>
      <c r="AI35" s="4"/>
      <c r="AJ35" s="4"/>
      <c r="AK35" s="4"/>
      <c r="AL35" s="4"/>
      <c r="AM35" s="4"/>
      <c r="AN35" s="4"/>
    </row>
    <row r="36" spans="14:40" ht="31.2" x14ac:dyDescent="0.6">
      <c r="N36" s="33" t="str">
        <f>Pivots!P34</f>
        <v>Rayana</v>
      </c>
      <c r="Q36" s="23" t="str">
        <v>C009</v>
      </c>
      <c r="R36" s="17">
        <v>885</v>
      </c>
      <c r="S36" s="17">
        <v>527</v>
      </c>
      <c r="T36" s="17">
        <v>653</v>
      </c>
      <c r="U36" s="17">
        <v>670</v>
      </c>
      <c r="V36" s="17">
        <v>292</v>
      </c>
      <c r="W36" s="17">
        <v>418</v>
      </c>
      <c r="X36" s="17">
        <v>1041</v>
      </c>
      <c r="Y36" s="24">
        <v>4486</v>
      </c>
      <c r="AA36" s="4"/>
      <c r="AB36" s="4"/>
      <c r="AC36" s="4"/>
      <c r="AD36" s="4"/>
      <c r="AE36" s="4"/>
      <c r="AF36" s="4"/>
      <c r="AG36" s="4"/>
      <c r="AH36" s="4"/>
      <c r="AI36" s="4"/>
      <c r="AJ36" s="4"/>
      <c r="AK36" s="4"/>
      <c r="AL36" s="4"/>
      <c r="AM36" s="4"/>
      <c r="AN36" s="4"/>
    </row>
    <row r="37" spans="14:40" x14ac:dyDescent="0.3">
      <c r="N37" s="34" t="str">
        <f>Pivots!P29</f>
        <v>% of Calls:12%</v>
      </c>
      <c r="Q37" s="23" t="str">
        <v>C010</v>
      </c>
      <c r="R37" s="17">
        <v>389</v>
      </c>
      <c r="S37" s="17">
        <v>922</v>
      </c>
      <c r="T37" s="17">
        <v>586</v>
      </c>
      <c r="U37" s="17">
        <v>581</v>
      </c>
      <c r="V37" s="17">
        <v>461</v>
      </c>
      <c r="W37" s="17">
        <v>346</v>
      </c>
      <c r="X37" s="17">
        <v>572</v>
      </c>
      <c r="Y37" s="24">
        <v>3857</v>
      </c>
      <c r="AA37" s="4"/>
      <c r="AB37" s="4"/>
      <c r="AC37" s="4"/>
      <c r="AD37" s="4"/>
      <c r="AE37" s="4"/>
      <c r="AF37" s="4"/>
      <c r="AG37" s="4"/>
      <c r="AH37" s="4"/>
      <c r="AI37" s="4"/>
      <c r="AJ37" s="4"/>
      <c r="AK37" s="4"/>
      <c r="AL37" s="4"/>
      <c r="AM37" s="4"/>
      <c r="AN37" s="4"/>
    </row>
    <row r="38" spans="14:40" x14ac:dyDescent="0.3">
      <c r="N38" s="34" t="str">
        <f>Pivots!P30</f>
        <v>Call Rank:118</v>
      </c>
      <c r="Q38" s="23" t="str">
        <v>C012</v>
      </c>
      <c r="R38" s="17">
        <v>1020</v>
      </c>
      <c r="S38" s="17">
        <v>630</v>
      </c>
      <c r="T38" s="17">
        <v>562</v>
      </c>
      <c r="U38" s="17">
        <v>434</v>
      </c>
      <c r="V38" s="17">
        <v>327</v>
      </c>
      <c r="W38" s="17">
        <v>724</v>
      </c>
      <c r="X38" s="17">
        <v>834</v>
      </c>
      <c r="Y38" s="24">
        <v>4531</v>
      </c>
      <c r="AA38" s="4"/>
      <c r="AB38" s="4"/>
      <c r="AC38" s="4"/>
      <c r="AD38" s="4"/>
      <c r="AE38" s="4"/>
      <c r="AF38" s="4"/>
      <c r="AG38" s="4"/>
      <c r="AH38" s="4"/>
      <c r="AI38" s="4"/>
      <c r="AJ38" s="4"/>
      <c r="AK38" s="4"/>
      <c r="AL38" s="4"/>
      <c r="AM38" s="4"/>
      <c r="AN38" s="4"/>
    </row>
    <row r="39" spans="14:40" x14ac:dyDescent="0.3">
      <c r="N39" s="34" t="str">
        <f>Pivots!P31</f>
        <v>Amount Rank:9359</v>
      </c>
      <c r="Q39" s="23" t="str">
        <v>C018</v>
      </c>
      <c r="R39" s="17">
        <v>458</v>
      </c>
      <c r="S39" s="17">
        <v>504</v>
      </c>
      <c r="T39" s="17">
        <v>914</v>
      </c>
      <c r="U39" s="17">
        <v>1564</v>
      </c>
      <c r="V39" s="17">
        <v>1068</v>
      </c>
      <c r="W39" s="17">
        <v>670</v>
      </c>
      <c r="X39" s="17">
        <v>466</v>
      </c>
      <c r="Y39" s="24">
        <v>5644</v>
      </c>
      <c r="AA39" s="4"/>
      <c r="AB39" s="4"/>
      <c r="AC39" s="4"/>
      <c r="AD39" s="4"/>
      <c r="AE39" s="4"/>
      <c r="AF39" s="4"/>
      <c r="AG39" s="4"/>
      <c r="AH39" s="4"/>
      <c r="AI39" s="4"/>
      <c r="AJ39" s="4"/>
      <c r="AK39" s="4"/>
      <c r="AL39" s="4"/>
      <c r="AM39" s="4"/>
      <c r="AN39" s="4"/>
    </row>
    <row r="40" spans="14:40" x14ac:dyDescent="0.3">
      <c r="Q40" s="25" t="str">
        <v>Trichy</v>
      </c>
      <c r="R40" s="17" t="str">
        <v/>
      </c>
      <c r="S40" s="17" t="str">
        <v/>
      </c>
      <c r="T40" s="17" t="str">
        <v/>
      </c>
      <c r="U40" s="17" t="str">
        <v/>
      </c>
      <c r="V40" s="17" t="str">
        <v/>
      </c>
      <c r="W40" s="17" t="str">
        <v/>
      </c>
      <c r="X40" s="17" t="str">
        <v/>
      </c>
      <c r="Y40" s="24" t="str">
        <v/>
      </c>
      <c r="AA40" s="4"/>
      <c r="AB40" s="4"/>
      <c r="AC40" s="4"/>
      <c r="AD40" s="4"/>
      <c r="AE40" s="4"/>
      <c r="AF40" s="4"/>
      <c r="AG40" s="4"/>
      <c r="AH40" s="4"/>
      <c r="AI40" s="4"/>
      <c r="AJ40" s="4"/>
      <c r="AK40" s="4"/>
      <c r="AL40" s="4"/>
      <c r="AM40" s="4"/>
      <c r="AN40" s="4"/>
    </row>
    <row r="41" spans="14:40" x14ac:dyDescent="0.3">
      <c r="Q41" s="23" t="str">
        <v>C004</v>
      </c>
      <c r="R41" s="17">
        <v>1046</v>
      </c>
      <c r="S41" s="17">
        <v>744</v>
      </c>
      <c r="T41" s="17">
        <v>742</v>
      </c>
      <c r="U41" s="17">
        <v>484</v>
      </c>
      <c r="V41" s="17">
        <v>311</v>
      </c>
      <c r="W41" s="17">
        <v>531</v>
      </c>
      <c r="X41" s="17">
        <v>664</v>
      </c>
      <c r="Y41" s="24">
        <v>4522</v>
      </c>
      <c r="AA41" s="4"/>
      <c r="AB41" s="4"/>
      <c r="AC41" s="4"/>
      <c r="AD41" s="4"/>
    </row>
    <row r="42" spans="14:40" x14ac:dyDescent="0.3">
      <c r="Q42" s="23" t="str">
        <v>C006</v>
      </c>
      <c r="R42" s="17">
        <v>1141</v>
      </c>
      <c r="S42" s="17">
        <v>915</v>
      </c>
      <c r="T42" s="17">
        <v>596</v>
      </c>
      <c r="U42" s="17">
        <v>414</v>
      </c>
      <c r="V42" s="17">
        <v>579</v>
      </c>
      <c r="W42" s="17">
        <v>644</v>
      </c>
      <c r="X42" s="17">
        <v>919</v>
      </c>
      <c r="Y42" s="24">
        <v>5208</v>
      </c>
      <c r="AA42" s="4"/>
      <c r="AB42" s="4"/>
      <c r="AC42" s="4"/>
      <c r="AD42" s="4"/>
    </row>
    <row r="43" spans="14:40" x14ac:dyDescent="0.3">
      <c r="Q43" s="23" t="str">
        <v>C007</v>
      </c>
      <c r="R43" s="17">
        <v>981</v>
      </c>
      <c r="S43" s="17">
        <v>322</v>
      </c>
      <c r="T43" s="17">
        <v>508</v>
      </c>
      <c r="U43" s="17">
        <v>759</v>
      </c>
      <c r="V43" s="17">
        <v>646</v>
      </c>
      <c r="W43" s="17">
        <v>674</v>
      </c>
      <c r="X43" s="17">
        <v>358</v>
      </c>
      <c r="Y43" s="24">
        <v>4248</v>
      </c>
      <c r="AA43" s="4"/>
      <c r="AB43" s="4"/>
      <c r="AC43" s="4"/>
      <c r="AD43" s="4"/>
    </row>
    <row r="44" spans="14:40" x14ac:dyDescent="0.3">
      <c r="Q44" s="23" t="str">
        <v>C013</v>
      </c>
      <c r="R44" s="17">
        <v>929</v>
      </c>
      <c r="S44" s="17">
        <v>586</v>
      </c>
      <c r="T44" s="17">
        <v>758</v>
      </c>
      <c r="U44" s="17">
        <v>1108</v>
      </c>
      <c r="V44" s="17">
        <v>269</v>
      </c>
      <c r="W44" s="17">
        <v>510</v>
      </c>
      <c r="X44" s="17">
        <v>522</v>
      </c>
      <c r="Y44" s="24">
        <v>4682</v>
      </c>
      <c r="AA44" s="4"/>
      <c r="AB44" s="4"/>
      <c r="AC44" s="4"/>
      <c r="AD44" s="4"/>
    </row>
    <row r="45" spans="14:40" x14ac:dyDescent="0.3">
      <c r="Q45" s="26" t="str">
        <v>C016</v>
      </c>
      <c r="R45" s="27">
        <v>824</v>
      </c>
      <c r="S45" s="27">
        <v>558</v>
      </c>
      <c r="T45" s="27">
        <v>302</v>
      </c>
      <c r="U45" s="27">
        <v>555</v>
      </c>
      <c r="V45" s="27">
        <v>523</v>
      </c>
      <c r="W45" s="27">
        <v>609</v>
      </c>
      <c r="X45" s="27">
        <v>794</v>
      </c>
      <c r="Y45" s="28">
        <v>4165</v>
      </c>
      <c r="AA45" s="4"/>
      <c r="AB45" s="4"/>
      <c r="AC45" s="4"/>
      <c r="AD45" s="4"/>
    </row>
    <row r="46" spans="14:40" x14ac:dyDescent="0.3">
      <c r="AA46" s="4"/>
      <c r="AB46" s="4"/>
      <c r="AC46" s="4"/>
      <c r="AD46" s="4"/>
    </row>
    <row r="47" spans="14:40" x14ac:dyDescent="0.3">
      <c r="AA47" s="4"/>
      <c r="AB47" s="4"/>
      <c r="AC47" s="4"/>
      <c r="AD47" s="4"/>
    </row>
    <row r="48" spans="14:40" x14ac:dyDescent="0.3">
      <c r="AA48" s="4"/>
      <c r="AB48" s="4"/>
      <c r="AC48" s="4"/>
      <c r="AD48" s="4"/>
    </row>
    <row r="49" spans="27:30" x14ac:dyDescent="0.3">
      <c r="AA49" s="4"/>
      <c r="AB49" s="4"/>
      <c r="AC49" s="4"/>
      <c r="AD49" s="4"/>
    </row>
    <row r="50" spans="27:30" x14ac:dyDescent="0.3">
      <c r="AA50" s="4"/>
      <c r="AB50" s="4"/>
      <c r="AC50" s="4"/>
      <c r="AD50" s="4"/>
    </row>
    <row r="51" spans="27:30" x14ac:dyDescent="0.3">
      <c r="AA51" s="4"/>
      <c r="AB51" s="4"/>
      <c r="AC51" s="4"/>
      <c r="AD51" s="4"/>
    </row>
    <row r="52" spans="27:30" x14ac:dyDescent="0.3">
      <c r="AA52" s="4"/>
      <c r="AB52" s="4"/>
      <c r="AC52" s="4"/>
      <c r="AD52" s="4"/>
    </row>
    <row r="53" spans="27:30" x14ac:dyDescent="0.3">
      <c r="AA53" s="4"/>
      <c r="AB53" s="4"/>
      <c r="AC53" s="4"/>
      <c r="AD53" s="4"/>
    </row>
    <row r="54" spans="27:30" x14ac:dyDescent="0.3">
      <c r="AA54" s="4"/>
      <c r="AB54" s="4"/>
      <c r="AC54" s="4"/>
      <c r="AD54" s="4"/>
    </row>
    <row r="55" spans="27:30" x14ac:dyDescent="0.3">
      <c r="AA55" s="4"/>
      <c r="AB55" s="4"/>
      <c r="AC55" s="4"/>
      <c r="AD55" s="4"/>
    </row>
    <row r="56" spans="27:30" x14ac:dyDescent="0.3">
      <c r="AA56" s="4"/>
      <c r="AB56" s="4"/>
      <c r="AC56" s="4"/>
      <c r="AD56" s="4"/>
    </row>
    <row r="57" spans="27:30" x14ac:dyDescent="0.3">
      <c r="AA57" s="4"/>
      <c r="AB57" s="4"/>
      <c r="AC57" s="4"/>
      <c r="AD57" s="4"/>
    </row>
  </sheetData>
  <conditionalFormatting sqref="R23:X45">
    <cfRule type="dataBar" priority="2">
      <dataBar>
        <cfvo type="num" val="0"/>
        <cfvo type="formula" val="MAX($R$23:$X$45)*2"/>
        <color theme="7" tint="0.39997558519241921"/>
      </dataBar>
      <extLst>
        <ext xmlns:x14="http://schemas.microsoft.com/office/spreadsheetml/2009/9/main" uri="{B025F937-C7B1-47D3-B67F-A62EFF666E3E}">
          <x14:id>{5CAB17E0-E02C-40D0-BA2B-1A77F996C5F4}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FB7A695E-A27F-4511-9AD7-B07076B3D9EB}">
            <xm:f>R$21=Pivots!$V$4</xm:f>
            <x14:dxf>
              <fill>
                <patternFill>
                  <bgColor theme="6" tint="0.59996337778862885"/>
                </patternFill>
              </fill>
              <border>
                <left style="thin">
                  <color auto="1"/>
                </left>
                <right style="thin">
                  <color auto="1"/>
                </right>
                <top style="thin">
                  <color auto="1"/>
                </top>
                <bottom style="thin">
                  <color auto="1"/>
                </bottom>
                <vertical/>
                <horizontal/>
              </border>
            </x14:dxf>
          </x14:cfRule>
          <xm:sqref>R21:X45</xm:sqref>
        </x14:conditionalFormatting>
        <x14:conditionalFormatting xmlns:xm="http://schemas.microsoft.com/office/excel/2006/main">
          <x14:cfRule type="dataBar" id="{5CAB17E0-E02C-40D0-BA2B-1A77F996C5F4}">
            <x14:dataBar minLength="0" maxLength="100" gradient="0">
              <x14:cfvo type="num">
                <xm:f>0</xm:f>
              </x14:cfvo>
              <x14:cfvo type="formula">
                <xm:f>MAX($R$23:$X$45)*2</xm:f>
              </x14:cfvo>
              <x14:negativeFillColor rgb="FFFF0000"/>
              <x14:axisColor rgb="FF000000"/>
            </x14:dataBar>
          </x14:cfRule>
          <xm:sqref>R23:X45</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Customer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Gayathry Ganesan</cp:lastModifiedBy>
  <dcterms:created xsi:type="dcterms:W3CDTF">2025-11-17T13:08:15Z</dcterms:created>
  <dcterms:modified xsi:type="dcterms:W3CDTF">2025-12-10T19:09:15Z</dcterms:modified>
</cp:coreProperties>
</file>